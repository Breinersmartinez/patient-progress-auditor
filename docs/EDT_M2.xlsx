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T" sheetId="1" state="visible" r:id="rId3"/>
    <sheet name="Cronograma por día" sheetId="2" state="visible" r:id="rId4"/>
    <sheet name="Listas" sheetId="3" state="visible" r:id="rId5"/>
  </sheets>
  <definedNames>
    <definedName function="false" hidden="true" localSheetId="1" name="_xlnm._FilterDatabase" vbProcedure="false">'Cronograma por día'!$A$23:$I$126</definedName>
    <definedName function="false" hidden="false" localSheetId="0" name="_xlnm.Print_Titles" vbProcedure="false">EDT!$6:$6</definedName>
    <definedName function="false" hidden="true" localSheetId="0" name="_xlnm._FilterDatabase" vbProcedure="false">EDT!$A$6:$P$124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Elija de la lista: Breiner o Andres. Ejemplo: Breiner. Queda vacía a propósito para repartirla entre ustedes.</t>
        </r>
      </text>
    </comment>
    <comment ref="H6" authorId="0">
      <text>
        <r>
          <rPr>
            <sz val="10"/>
            <rFont val="Arial"/>
            <family val="2"/>
          </rPr>
          <t xml:space="preserve">1 = puerta de aceptación o causa de anulación; 2 = resto del núcleo de M2; 3 = «si hay tiempo» (se recorta primero); 4 = opcional. Propuesta de Claude.</t>
        </r>
      </text>
    </comment>
    <comment ref="I6" authorId="0">
      <text>
        <r>
          <rPr>
            <sz val="10"/>
            <rFont val="Arial"/>
            <family val="2"/>
          </rPr>
          <t xml:space="preserve">IDs de las tareas que deben estar hechas antes de empezar esta.</t>
        </r>
      </text>
    </comment>
    <comment ref="J6" authorId="0">
      <text>
        <r>
          <rPr>
            <sz val="10"/>
            <rFont val="Arial"/>
            <family val="2"/>
          </rPr>
          <t xml:space="preserve">Día propuesto por Claude según las dependencias. Si lo cambia, la hoja «Cronograma por día» se actualiza sola.</t>
        </r>
      </text>
    </comment>
    <comment ref="K6" authorId="0">
      <text>
        <r>
          <rPr>
            <sz val="10"/>
            <rFont val="Arial"/>
            <family val="2"/>
          </rPr>
          <t xml:space="preserve">Horas estimadas por Claude para una persona con ayuda de IA; incluyen revisar y probar. Es una suposición: calíbrela con «Horas reales» después de las primeras tareas.</t>
        </r>
      </text>
    </comment>
    <comment ref="L6" authorId="0">
      <text>
        <r>
          <rPr>
            <sz val="10"/>
            <rFont val="Arial"/>
            <family val="2"/>
          </rPr>
          <t xml:space="preserve">Horas que realmente tomó la tarea. Ejemplo: 1.5</t>
        </r>
      </text>
    </comment>
    <comment ref="M6" authorId="0">
      <text>
        <r>
          <rPr>
            <sz val="10"/>
            <rFont val="Arial"/>
            <family val="2"/>
          </rPr>
          <t xml:space="preserve">Pendiente, En curso, Bloqueada, Hecha o Recortada. «Recortada» saca la tarea de todos los totales y del Cronograma (la fila se tacha).</t>
        </r>
      </text>
    </comment>
    <comment ref="N6" authorId="0">
      <text>
        <r>
          <rPr>
            <sz val="10"/>
            <rFont val="Arial"/>
            <family val="2"/>
          </rPr>
          <t xml:space="preserve">Tarea: Hecha = 100 %, En curso = 50 %, otro estado = 0 %. Paquete: promedio ponderado por horas estimadas.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Lo que se espera cerrar cada día según el plan de entrega: tag m2-entrega el jueves, ensayo el viernes, demo el sábado.</t>
        </r>
      </text>
    </comment>
    <comment ref="C6" authorId="0">
      <text>
        <r>
          <rPr>
            <sz val="10"/>
            <rFont val="Arial"/>
            <family val="2"/>
          </rPr>
          <t xml:space="preserve">Suposición de Claude: horas útiles por persona ese día (Mié 10, Jue 12 hasta la medianoche, Vie 6, Sáb 4). Cámbielas con las horas reales que tengan.</t>
        </r>
      </text>
    </comment>
  </commentList>
</comments>
</file>

<file path=xl/sharedStrings.xml><?xml version="1.0" encoding="utf-8"?>
<sst xmlns="http://schemas.openxmlformats.org/spreadsheetml/2006/main" count="1283" uniqueCount="670">
  <si>
    <t xml:space="preserve">EDT del Momento 2 — Patient Progress Auditor</t>
  </si>
  <si>
    <t xml:space="preserve">Horas y días son una propuesta de Claude: una persona con ayuda de IA, incluye revisar y probar, ninguna tarea pasa de 4 h. Se congela el jueves 29 (tag m2-entrega); el viernes no se integra nada nuevo.</t>
  </si>
  <si>
    <t xml:space="preserve">TOTAL de la EDT (sin tareas recortadas)</t>
  </si>
  <si>
    <t xml:space="preserve">Leyenda · Amarillo = lo llena el equipo (Responsable, Horas reales, Estado, Notas)</t>
  </si>
  <si>
    <t xml:space="preserve">Texto azul = propuesta de Claude que se puede cambiar (Frente, Hito, Prioridad, Día, Horas est.)</t>
  </si>
  <si>
    <t xml:space="preserve">Estado «Recortada» = la tarea sale de todos los totales y del Cronograma</t>
  </si>
  <si>
    <t xml:space="preserve">ID</t>
  </si>
  <si>
    <t xml:space="preserve">Tarea</t>
  </si>
  <si>
    <t xml:space="preserve">Entregable</t>
  </si>
  <si>
    <t xml:space="preserve">Frente</t>
  </si>
  <si>
    <t xml:space="preserve">Responsable</t>
  </si>
  <si>
    <t xml:space="preserve">Requisitos</t>
  </si>
  <si>
    <t xml:space="preserve">Hito</t>
  </si>
  <si>
    <t xml:space="preserve">Prioridad</t>
  </si>
  <si>
    <t xml:space="preserve">Depende de</t>
  </si>
  <si>
    <t xml:space="preserve">Día</t>
  </si>
  <si>
    <t xml:space="preserve">Horas est.</t>
  </si>
  <si>
    <t xml:space="preserve">Horas reales</t>
  </si>
  <si>
    <t xml:space="preserve">Estado</t>
  </si>
  <si>
    <t xml:space="preserve">Avance</t>
  </si>
  <si>
    <t xml:space="preserve">Criterio de aceptación (sí/no)</t>
  </si>
  <si>
    <t xml:space="preserve">Notas</t>
  </si>
  <si>
    <t xml:space="preserve">1</t>
  </si>
  <si>
    <t xml:space="preserve">Arranque en frío y plataforma</t>
  </si>
  <si>
    <t xml:space="preserve">La app levanta con un comando en una máquina limpia, sin pasos manuales: es la puerta de aceptación del profesor</t>
  </si>
  <si>
    <t xml:space="preserve">A · Plataforma y datos</t>
  </si>
  <si>
    <t xml:space="preserve">1.1</t>
  </si>
  <si>
    <t xml:space="preserve">Quitar la exigencia de JWT_SECRET en el Momento 2</t>
  </si>
  <si>
    <t xml:space="preserve">application.yml, .env.example y la cadena de seguridad sin token: el backend arranca sin JWT_SECRET y las rutas /api no piden token</t>
  </si>
  <si>
    <t xml:space="preserve">D23, D26, RNF-13</t>
  </si>
  <si>
    <t xml:space="preserve">M2-N</t>
  </si>
  <si>
    <t xml:space="preserve">1 · Imprescindible</t>
  </si>
  <si>
    <t xml:space="preserve">—</t>
  </si>
  <si>
    <t xml:space="preserve">Mié 28</t>
  </si>
  <si>
    <t xml:space="preserve">Pendiente</t>
  </si>
  <si>
    <t xml:space="preserve">¿El backend arranca sin JWT_SECRET y responde en /api sin token?</t>
  </si>
  <si>
    <t xml:space="preserve">1.2</t>
  </si>
  <si>
    <t xml:space="preserve">Dockerfile del backend con CMD</t>
  </si>
  <si>
    <t xml:space="preserve">Imagen multi-etapa con Java 17 que compila y arranca el jar</t>
  </si>
  <si>
    <t xml:space="preserve">D9, D22</t>
  </si>
  <si>
    <t xml:space="preserve">¿La imagen del backend arranca sola con docker run?</t>
  </si>
  <si>
    <t xml:space="preserve">1.3</t>
  </si>
  <si>
    <t xml:space="preserve">Dockerfile del frontend multi-etapa</t>
  </si>
  <si>
    <t xml:space="preserve">Build de Angular con Node 20 servido con nginx; la URL del API es configurable</t>
  </si>
  <si>
    <t xml:space="preserve">D22</t>
  </si>
  <si>
    <t xml:space="preserve">¿La imagen sirve la app y esta llama al backend?</t>
  </si>
  <si>
    <t xml:space="preserve">1.4</t>
  </si>
  <si>
    <t xml:space="preserve">docker-compose.yml</t>
  </si>
  <si>
    <t xml:space="preserve">PostgreSQL con imagen y versión fijadas, backend y frontend, con healthchecks y orden de arranque</t>
  </si>
  <si>
    <t xml:space="preserve">D22, RNF-13</t>
  </si>
  <si>
    <t xml:space="preserve">1.2, 1.3</t>
  </si>
  <si>
    <t xml:space="preserve">¿docker compose up --build deja los tres servicios sanos?</t>
  </si>
  <si>
    <t xml:space="preserve">1.5</t>
  </si>
  <si>
    <t xml:space="preserve">.env.example</t>
  </si>
  <si>
    <t xml:space="preserve">Variables exactas (DB_PASSWORD, llave del proveedor y del respaldo, APP_SEED_DEMO, API_URL), sin llaves reales</t>
  </si>
  <si>
    <t xml:space="preserve">D22, RNF-01, RNF-13</t>
  </si>
  <si>
    <t xml:space="preserve">¿Toda variable que usa el código está documentada y ninguna es una llave real?</t>
  </si>
  <si>
    <t xml:space="preserve">1.6</t>
  </si>
  <si>
    <t xml:space="preserve">run.sh</t>
  </si>
  <si>
    <t xml:space="preserve">Verifica Docker, crea .env, genera DB_PASSWORD, resuelve la llave (entorno; consola solo si hay terminal; si no, arranca y avisa) y ejecuta docker compose up --build</t>
  </si>
  <si>
    <t xml:space="preserve">1.4, 1.5</t>
  </si>
  <si>
    <t xml:space="preserve">¿Sin terminal y sin llave arranca igual en vez de quedarse esperando?</t>
  </si>
  <si>
    <t xml:space="preserve">1.7</t>
  </si>
  <si>
    <t xml:space="preserve">Aviso de llave faltante en la app</t>
  </si>
  <si>
    <t xml:space="preserve">Estado del proveedor en el backend y banner claro en la interfaz cuando falta la llave</t>
  </si>
  <si>
    <t xml:space="preserve">AB · Compartida</t>
  </si>
  <si>
    <t xml:space="preserve">D22, RNF-04</t>
  </si>
  <si>
    <t xml:space="preserve">7.2</t>
  </si>
  <si>
    <t xml:space="preserve">Jue 29</t>
  </si>
  <si>
    <t xml:space="preserve">¿Sin llave la app avisa con claridad y no muestra un error crudo?</t>
  </si>
  <si>
    <t xml:space="preserve">2</t>
  </si>
  <si>
    <t xml:space="preserve">Modelo de datos, roles y semilla</t>
  </si>
  <si>
    <t xml:space="preserve">Esquema Flyway V3 y V4 según DICCIONARIO_DATOS_M2, entidades y datos de demostración (D11)</t>
  </si>
  <si>
    <t xml:space="preserve">2.1</t>
  </si>
  <si>
    <t xml:space="preserve">V3: tablas de usuarios y entradas</t>
  </si>
  <si>
    <t xml:space="preserve">app_users ajustada y patients, entries y entry_events, con sus CHECK e índices (DICCIONARIO_DATOS_M2 §4.1 a §4.5)</t>
  </si>
  <si>
    <t xml:space="preserve">RF-01, RF-02, RF-06</t>
  </si>
  <si>
    <t xml:space="preserve">¿Flyway crea las tablas y el CHECK rechaza un síntoma fuera del catálogo?</t>
  </si>
  <si>
    <t xml:space="preserve">2.2</t>
  </si>
  <si>
    <t xml:space="preserve">V3: tablas de informes</t>
  </si>
  <si>
    <t xml:space="preserve">reports, report_versions, report_citations y monthly_report_weeks (§4.7 a §4.10)</t>
  </si>
  <si>
    <t xml:space="preserve">RF-08, RF-25, RF-36</t>
  </si>
  <si>
    <t xml:space="preserve">¿Un informe que no empieza en lunes es rechazado por la BD?</t>
  </si>
  <si>
    <t xml:space="preserve">2.3</t>
  </si>
  <si>
    <t xml:space="preserve">V3: tablas del agente</t>
  </si>
  <si>
    <t xml:space="preserve">agent_runs y agent_steps (§4.11 y §4.12)</t>
  </si>
  <si>
    <t xml:space="preserve">RF-22, D24</t>
  </si>
  <si>
    <t xml:space="preserve">¿Una ejecución guarda sus pasos ordenados por seq?</t>
  </si>
  <si>
    <t xml:space="preserve">2.4</t>
  </si>
  <si>
    <t xml:space="preserve">V3: tablas de «si hay tiempo»</t>
  </si>
  <si>
    <t xml:space="preserve">entry_versions y audit_logs (§4.6 y §4.13)</t>
  </si>
  <si>
    <t xml:space="preserve">RF-03, RF-35</t>
  </si>
  <si>
    <t xml:space="preserve">M2-S</t>
  </si>
  <si>
    <t xml:space="preserve">3 · Si hay tiempo</t>
  </si>
  <si>
    <t xml:space="preserve">¿Las dos tablas existen y se pueden escribir?</t>
  </si>
  <si>
    <t xml:space="preserve">2.5</t>
  </si>
  <si>
    <t xml:space="preserve">V4: roles y permisos del dominio</t>
  </si>
  <si>
    <t xml:space="preserve">ENFERMERIA, MEDICO y AGENTE y los permisos de §3.4 con sus asignaciones; UUID fijos y ON CONFLICT DO NOTHING</t>
  </si>
  <si>
    <t xml:space="preserve">RF-32, RN-02</t>
  </si>
  <si>
    <t xml:space="preserve">¿Solo ENFERMERIA tiene REPORTS_APPROVE?</t>
  </si>
  <si>
    <t xml:space="preserve">2.6</t>
  </si>
  <si>
    <t xml:space="preserve">Entidades y repositorios</t>
  </si>
  <si>
    <t xml:space="preserve">Clases JPA y repositorios de las tablas del núcleo</t>
  </si>
  <si>
    <t xml:space="preserve">DICCIONARIO_DATOS_M2 §4</t>
  </si>
  <si>
    <t xml:space="preserve">2.1, 2.2, 2.3</t>
  </si>
  <si>
    <t xml:space="preserve">¿Los repositorios leen y escriben las tablas del núcleo en una prueba?</t>
  </si>
  <si>
    <t xml:space="preserve">2.7</t>
  </si>
  <si>
    <t xml:space="preserve">Semilla: usuarios de demostración</t>
  </si>
  <si>
    <t xml:space="preserve">ApplicationRunner idempotente con 4 usuarios (2 de enfermería y 2 médicos); solo con APP_SEED_DEMO=true y nunca en prod</t>
  </si>
  <si>
    <t xml:space="preserve">RF-05, RF-39, D23</t>
  </si>
  <si>
    <t xml:space="preserve">2.5, 2.6</t>
  </si>
  <si>
    <t xml:space="preserve">¿Reiniciar dos veces no duplica y el perfil prod rechaza la semilla?</t>
  </si>
  <si>
    <t xml:space="preserve">2.8</t>
  </si>
  <si>
    <t xml:space="preserve">Datos del paciente 1</t>
  </si>
  <si>
    <t xml:space="preserve">5 semanas (unas 35 entradas con eventos confirmados); un síntoma que reaparece en las semanas 1, 3 y 5</t>
  </si>
  <si>
    <t xml:space="preserve">D11, OBJ-02</t>
  </si>
  <si>
    <t xml:space="preserve">¿Existen las 5 semanas y el síntoma reaparece donde dice D11?</t>
  </si>
  <si>
    <t xml:space="preserve">2.9</t>
  </si>
  <si>
    <t xml:space="preserve">Datos del paciente 2</t>
  </si>
  <si>
    <t xml:space="preserve">4 semanas; la semana 4 queda sin informe</t>
  </si>
  <si>
    <t xml:space="preserve">D11</t>
  </si>
  <si>
    <t xml:space="preserve">2 · Núcleo</t>
  </si>
  <si>
    <t xml:space="preserve">¿Existen las 4 semanas con sus eventos confirmados?</t>
  </si>
  <si>
    <t xml:space="preserve">2.10</t>
  </si>
  <si>
    <t xml:space="preserve">Datos del paciente 3</t>
  </si>
  <si>
    <t xml:space="preserve">3 semanas con días sin registro y una semana con pocas entradas</t>
  </si>
  <si>
    <t xml:space="preserve">D11, RN-08</t>
  </si>
  <si>
    <t xml:space="preserve">¿El paciente tiene días sin registro y una semana con pocas entradas?</t>
  </si>
  <si>
    <t xml:space="preserve">2.11</t>
  </si>
  <si>
    <t xml:space="preserve">Datos del paciente 4</t>
  </si>
  <si>
    <t xml:space="preserve">4 semanas sin síntomas y con negaciones («sin vómito»)</t>
  </si>
  <si>
    <t xml:space="preserve">D11, RN-11</t>
  </si>
  <si>
    <t xml:space="preserve">¿Las negaciones están en el texto y no generan eventos?</t>
  </si>
  <si>
    <t xml:space="preserve">2.12</t>
  </si>
  <si>
    <t xml:space="preserve">Datos del paciente 5</t>
  </si>
  <si>
    <t xml:space="preserve">2 semanas con una nota que trae una instrucción dentro del texto</t>
  </si>
  <si>
    <t xml:space="preserve">D11, RF-21</t>
  </si>
  <si>
    <t xml:space="preserve">¿Existe la nota con la instrucción y es texto sintético?</t>
  </si>
  <si>
    <t xml:space="preserve">2.13</t>
  </si>
  <si>
    <t xml:space="preserve">Informes sembrados</t>
  </si>
  <si>
    <t xml:space="preserve">4 informes APROBADOS del paciente 1 y 1 PENDIENTE_REVISION del paciente 2, con versión 1 y citas; se generan una vez con el agente real y se revisan a mano</t>
  </si>
  <si>
    <t xml:space="preserve">D11, RN-05, RN-10</t>
  </si>
  <si>
    <t xml:space="preserve">2.8, 2.9, 9.1, 9.4</t>
  </si>
  <si>
    <t xml:space="preserve">¿Existen los 5 informes con citas válidas y cifras iguales a las métricas?</t>
  </si>
  <si>
    <t xml:space="preserve">2.14</t>
  </si>
  <si>
    <t xml:space="preserve">Prueba de idempotencia de la semilla</t>
  </si>
  <si>
    <t xml:space="preserve">Reiniciar dos veces y comparar los conteos por tabla</t>
  </si>
  <si>
    <t xml:space="preserve">RF-05</t>
  </si>
  <si>
    <t xml:space="preserve">¿Los conteos por tabla son iguales tras reiniciar?</t>
  </si>
  <si>
    <t xml:space="preserve">3</t>
  </si>
  <si>
    <t xml:space="preserve">Sesión de demostración y permisos (D26)</t>
  </si>
  <si>
    <t xml:space="preserve">Elegir un usuario de demostración y que el servidor aplique su rol, sin autenticación</t>
  </si>
  <si>
    <t xml:space="preserve">3.1</t>
  </si>
  <si>
    <t xml:space="preserve">API de usuarios de demostración y sesión</t>
  </si>
  <si>
    <t xml:space="preserve">Lista los usuarios sembrados; el elegido viaja en cada petición y el servidor toma de él rol e identidad</t>
  </si>
  <si>
    <t xml:space="preserve">D26, RF-32</t>
  </si>
  <si>
    <t xml:space="preserve">¿Una petición sin usuario elegido se rechaza y con uno toma su rol?</t>
  </si>
  <si>
    <t xml:space="preserve">3.2</t>
  </si>
  <si>
    <t xml:space="preserve">Permisos por rol en el servidor</t>
  </si>
  <si>
    <t xml:space="preserve">La matriz de DICCIONARIO_DATOS_M2 §3.4 aplicada en los endpoints</t>
  </si>
  <si>
    <t xml:space="preserve">¿Cada rol hace exactamente lo que dice la matriz y nada más?</t>
  </si>
  <si>
    <t xml:space="preserve">3.3</t>
  </si>
  <si>
    <t xml:space="preserve">Pruebas automáticas de permisos</t>
  </si>
  <si>
    <t xml:space="preserve">El médico no aprueba ni ve informes pendientes; solo enfermería aprueba</t>
  </si>
  <si>
    <t xml:space="preserve">OBJ-05, RNF-11</t>
  </si>
  <si>
    <t xml:space="preserve">3.2, 9.4</t>
  </si>
  <si>
    <t xml:space="preserve">¿Pasan las tres pruebas: médico no aprueba, médico no ve pendientes, enfermería sí aprueba?</t>
  </si>
  <si>
    <t xml:space="preserve">3.4</t>
  </si>
  <si>
    <t xml:space="preserve">Pantalla de elección de usuario y guards por rol</t>
  </si>
  <si>
    <t xml:space="preserve">Elegir entre los usuarios sembrados, enviar el usuario en cada petición y limitar las rutas por rol</t>
  </si>
  <si>
    <t xml:space="preserve">D26</t>
  </si>
  <si>
    <t xml:space="preserve">¿Se puede entrar como enfermería y como médico y cada uno ve solo sus rutas?</t>
  </si>
  <si>
    <t xml:space="preserve">4</t>
  </si>
  <si>
    <t xml:space="preserve">Pacientes y entradas</t>
  </si>
  <si>
    <t xml:space="preserve">Alta de pacientes, registro de entradas y consulta por fecha</t>
  </si>
  <si>
    <t xml:space="preserve">4.1</t>
  </si>
  <si>
    <t xml:space="preserve">API de pacientes</t>
  </si>
  <si>
    <t xml:space="preserve">Crear y listar; al LLM solo sale el id interno</t>
  </si>
  <si>
    <t xml:space="preserve">RF-01, RNF-02</t>
  </si>
  <si>
    <t xml:space="preserve">¿Se crea un paciente con id interno y alias?</t>
  </si>
  <si>
    <t xml:space="preserve">4.2</t>
  </si>
  <si>
    <t xml:space="preserve">API de entradas</t>
  </si>
  <si>
    <t xml:space="preserve">Crear con el texto tal como se escribió, fecha y autor; listar por paciente y rango; varias el mismo día, ordenadas por hora</t>
  </si>
  <si>
    <t xml:space="preserve">RF-02, RF-04, RN-07, RN-09</t>
  </si>
  <si>
    <t xml:space="preserve">¿El texto guardado es idéntico al enviado y el listado respeta el rango?</t>
  </si>
  <si>
    <t xml:space="preserve">4.3</t>
  </si>
  <si>
    <t xml:space="preserve">Pantalla: lista de pacientes y alta mínima</t>
  </si>
  <si>
    <t xml:space="preserve">Lista de pacientes y formulario de alta</t>
  </si>
  <si>
    <t xml:space="preserve">RF-01</t>
  </si>
  <si>
    <t xml:space="preserve">3.4, 4.1</t>
  </si>
  <si>
    <t xml:space="preserve">¿Se ve la lista y se crea un paciente desde la pantalla?</t>
  </si>
  <si>
    <t xml:space="preserve">4.4</t>
  </si>
  <si>
    <t xml:space="preserve">Pantalla: historial del paciente</t>
  </si>
  <si>
    <t xml:space="preserve">Entradas por fecha con filtro de rango</t>
  </si>
  <si>
    <t xml:space="preserve">RF-04</t>
  </si>
  <si>
    <t xml:space="preserve">4.2, 4.3</t>
  </si>
  <si>
    <t xml:space="preserve">¿El historial filtra por rango y ordena por fecha?</t>
  </si>
  <si>
    <t xml:space="preserve">4.5</t>
  </si>
  <si>
    <t xml:space="preserve">Pantalla de registro</t>
  </si>
  <si>
    <t xml:space="preserve">Texto y fecha; al enviar pide la propuesta de eventos (paquete 5)</t>
  </si>
  <si>
    <t xml:space="preserve">RF-02</t>
  </si>
  <si>
    <t xml:space="preserve">4.2, 3.4</t>
  </si>
  <si>
    <t xml:space="preserve">¿Se registra una entrada desde la pantalla?</t>
  </si>
  <si>
    <t xml:space="preserve">5</t>
  </si>
  <si>
    <t xml:space="preserve">Estructuración por IA al registrar (D27)</t>
  </si>
  <si>
    <t xml:space="preserve">La IA propone los eventos del texto y la persona los confirma antes de guardar</t>
  </si>
  <si>
    <t xml:space="preserve">B · Agente e informe</t>
  </si>
  <si>
    <t xml:space="preserve">5.1</t>
  </si>
  <si>
    <t xml:space="preserve">Esquema y prompt de la propuesta</t>
  </si>
  <si>
    <t xml:space="preserve">JSON con síntomas del catálogo de nueve, intensidad y veces; no agrega lo que el texto no dice y las negaciones no crean eventos</t>
  </si>
  <si>
    <t xml:space="preserve">RF-06, RN-11, D27</t>
  </si>
  <si>
    <t xml:space="preserve">¿«Sin vómito» no crea el evento Vómito?</t>
  </si>
  <si>
    <t xml:space="preserve">5.2</t>
  </si>
  <si>
    <t xml:space="preserve">Servicio de estructuración</t>
  </si>
  <si>
    <t xml:space="preserve">Una llamada al LLM sin herramientas; valida el esquema, reintenta una vez devolviendo el error y tiene un tiempo máximo</t>
  </si>
  <si>
    <t xml:space="preserve">RF-06, RF-18, D27</t>
  </si>
  <si>
    <t xml:space="preserve">5.1, 7.2</t>
  </si>
  <si>
    <t xml:space="preserve">¿Una salida inválida se reintenta una vez y luego se reporta el fallo?</t>
  </si>
  <si>
    <t xml:space="preserve">5.3</t>
  </si>
  <si>
    <t xml:space="preserve">API: proponer y confirmar</t>
  </si>
  <si>
    <t xml:space="preserve">Proponer no guarda nada; confirmar guarda la entrada y sus eventos en una transacción; descartar no guarda</t>
  </si>
  <si>
    <t xml:space="preserve">RF-40, RN-11</t>
  </si>
  <si>
    <t xml:space="preserve">5.2, 4.2</t>
  </si>
  <si>
    <t xml:space="preserve">¿Descartar deja la BD sin cambios y confirmar guarda todo junto?</t>
  </si>
  <si>
    <t xml:space="preserve">5.4</t>
  </si>
  <si>
    <t xml:space="preserve">Pantalla «Así quedaría el registro»</t>
  </si>
  <si>
    <t xml:space="preserve">Texto y eventos propuestos con intensidad y veces; estado «Analizando el registro…»</t>
  </si>
  <si>
    <t xml:space="preserve">RF-40, D27</t>
  </si>
  <si>
    <t xml:space="preserve">5.3, 4.5</t>
  </si>
  <si>
    <t xml:space="preserve">¿Se ven los eventos propuestos y el estado de espera?</t>
  </si>
  <si>
    <t xml:space="preserve">5.5</t>
  </si>
  <si>
    <t xml:space="preserve">Quitar, agregar, editar y descartar eventos</t>
  </si>
  <si>
    <t xml:space="preserve">Controles de la pantalla para cambiar intensidad y veces, quitar un evento, agregar uno a mano y descartar todo</t>
  </si>
  <si>
    <t xml:space="preserve">RF-40</t>
  </si>
  <si>
    <t xml:space="preserve">¿Cada control cambia lo que se guarda?</t>
  </si>
  <si>
    <t xml:space="preserve">5.6</t>
  </si>
  <si>
    <t xml:space="preserve">Fallo de la estructuración</t>
  </si>
  <si>
    <t xml:space="preserve">Guardar solo el texto o agregar a mano; la entrada queda SIN_ESTRUCTURAR y el informe lo declara</t>
  </si>
  <si>
    <t xml:space="preserve">RF-41, RN-08</t>
  </si>
  <si>
    <t xml:space="preserve">¿Con el proveedor caído la entrada se guarda y queda marcada?</t>
  </si>
  <si>
    <t xml:space="preserve">5.7</t>
  </si>
  <si>
    <t xml:space="preserve">Traza de la estructuración</t>
  </si>
  <si>
    <t xml:space="preserve">Fila en agent_runs de tipo ESTRUCTURACION con sus pasos</t>
  </si>
  <si>
    <t xml:space="preserve">RF-22</t>
  </si>
  <si>
    <t xml:space="preserve">5.2, 8.12</t>
  </si>
  <si>
    <t xml:space="preserve">¿Cada estructuración deja su traza?</t>
  </si>
  <si>
    <t xml:space="preserve">5.8</t>
  </si>
  <si>
    <t xml:space="preserve">(Si hay tiempo) Texto corregido como versión</t>
  </si>
  <si>
    <t xml:space="preserve">La IA propone ortografía y puntuación junto a los eventos; se guarda como versión y el original queda intacto</t>
  </si>
  <si>
    <t xml:space="preserve">RF-42, RN-07</t>
  </si>
  <si>
    <t xml:space="preserve">5.3, 2.4</t>
  </si>
  <si>
    <t xml:space="preserve">¿El original no cambia y los informes citan el original?</t>
  </si>
  <si>
    <t xml:space="preserve">5.9</t>
  </si>
  <si>
    <t xml:space="preserve">(Si hay tiempo) Corregir una entrada con versión</t>
  </si>
  <si>
    <t xml:space="preserve">Conserva la versión anterior y quién la cambió</t>
  </si>
  <si>
    <t xml:space="preserve">RF-03</t>
  </si>
  <si>
    <t xml:space="preserve">4.2, 2.4</t>
  </si>
  <si>
    <t xml:space="preserve">¿Tras corregir se conserva la versión anterior y quién la cambió?</t>
  </si>
  <si>
    <t xml:space="preserve">6</t>
  </si>
  <si>
    <t xml:space="preserve">Métricas semanales (código)</t>
  </si>
  <si>
    <t xml:space="preserve">Las cifras las calcula el código, nunca el LLM</t>
  </si>
  <si>
    <t xml:space="preserve">6.1</t>
  </si>
  <si>
    <t xml:space="preserve">Métricas básicas por semana</t>
  </si>
  <si>
    <t xml:space="preserve">Días con y sin entrada, eventos por tipo y días con cada síntoma</t>
  </si>
  <si>
    <t xml:space="preserve">RF-07, RN-04</t>
  </si>
  <si>
    <t xml:space="preserve">¿Las cifras de una semana coinciden con el conteo manual?</t>
  </si>
  <si>
    <t xml:space="preserve">6.2</t>
  </si>
  <si>
    <t xml:space="preserve">Comparación entre semanas</t>
  </si>
  <si>
    <t xml:space="preserve">Variación y síntomas nuevos, persistentes, desaparecidos y reaparecidos</t>
  </si>
  <si>
    <t xml:space="preserve">RF-07, OBJ-02</t>
  </si>
  <si>
    <t xml:space="preserve">¿Detecta el síntoma que reaparece en el paciente 1?</t>
  </si>
  <si>
    <t xml:space="preserve">6.3</t>
  </si>
  <si>
    <t xml:space="preserve">Pruebas contra el cálculo manual</t>
  </si>
  <si>
    <t xml:space="preserve">Con los datos sembrados</t>
  </si>
  <si>
    <t xml:space="preserve">RF-07, RNF-11</t>
  </si>
  <si>
    <t xml:space="preserve">6.2, 2.8</t>
  </si>
  <si>
    <t xml:space="preserve">¿Las métricas coinciden con el cálculo manual en cada caso?</t>
  </si>
  <si>
    <t xml:space="preserve">7</t>
  </si>
  <si>
    <t xml:space="preserve">Capa de proveedor del LLM</t>
  </si>
  <si>
    <t xml:space="preserve">Proveedor y modelo elegidos con su razón, respaldo, reintentos y fallos que se pueden forzar</t>
  </si>
  <si>
    <t xml:space="preserve">7.1</t>
  </si>
  <si>
    <t xml:space="preserve">Elegir proveedor y modelo (D15)</t>
  </si>
  <si>
    <t xml:space="preserve">Verificar modelos vigentes, límites gratuitos, tool calling, ventana de contexto, latencia y costo; escribir la razón, con un respaldo</t>
  </si>
  <si>
    <t xml:space="preserve">D15, RNF-06</t>
  </si>
  <si>
    <t xml:space="preserve">¿Hay proveedor y modelo principal y de respaldo con su razón escrita?</t>
  </si>
  <si>
    <t xml:space="preserve">Interfaz de proveedor y adaptador principal</t>
  </si>
  <si>
    <t xml:space="preserve">Ningún SDK fuera de esa capa; llamada con herramientas y salida JSON</t>
  </si>
  <si>
    <t xml:space="preserve">RF-20, RF-09</t>
  </si>
  <si>
    <t xml:space="preserve">¿Una llamada real devuelve JSON y no hay SDK fuera de la capa?</t>
  </si>
  <si>
    <t xml:space="preserve">7.3</t>
  </si>
  <si>
    <t xml:space="preserve">Adaptador de respaldo y selección por configuración</t>
  </si>
  <si>
    <t xml:space="preserve">Cambiar de proveedor es cambiar configuración, y se ve en vivo</t>
  </si>
  <si>
    <t xml:space="preserve">RF-19, RF-20</t>
  </si>
  <si>
    <t xml:space="preserve">¿Cambiar una variable cambia el proveedor sin tocar código?</t>
  </si>
  <si>
    <t xml:space="preserve">7.4</t>
  </si>
  <si>
    <t xml:space="preserve">Reintentos y conmutación</t>
  </si>
  <si>
    <t xml:space="preserve">Espera de 1 s, 2 s y 4 s y luego el proveedor de respaldo; mensaje honesto sin stack trace</t>
  </si>
  <si>
    <t xml:space="preserve">RF-19, RNF-04</t>
  </si>
  <si>
    <t xml:space="preserve">¿Un 429 reintenta y conmuta al respaldo sin mostrar un error crudo?</t>
  </si>
  <si>
    <t xml:space="preserve">7.5</t>
  </si>
  <si>
    <t xml:space="preserve">Forzar los tres fallos para la demo</t>
  </si>
  <si>
    <t xml:space="preserve">Interruptores de configuración para 429 o caída, timeout y salida que no valida</t>
  </si>
  <si>
    <t xml:space="preserve">OBJ-10, RF-19</t>
  </si>
  <si>
    <t xml:space="preserve">7.4, 8.8</t>
  </si>
  <si>
    <t xml:space="preserve">¿Se fuerza cada uno de los tres fallos y la app responde con un mensaje claro?</t>
  </si>
  <si>
    <t xml:space="preserve">7.6</t>
  </si>
  <si>
    <t xml:space="preserve">Proveedor, modelo, tokens y costo por llamada</t>
  </si>
  <si>
    <t xml:space="preserve">Se registran en agent_runs</t>
  </si>
  <si>
    <t xml:space="preserve">RNF-06, OBJ-11</t>
  </si>
  <si>
    <t xml:space="preserve">7.2, 2.3</t>
  </si>
  <si>
    <t xml:space="preserve">¿Cada ejecución guarda proveedor, modelo, tokens y costo?</t>
  </si>
  <si>
    <t xml:space="preserve">8</t>
  </si>
  <si>
    <t xml:space="preserve">Agente de informes</t>
  </si>
  <si>
    <t xml:space="preserve">Herramientas, bucle, límites, validación y progreso en segundo plano</t>
  </si>
  <si>
    <t xml:space="preserve">8.1</t>
  </si>
  <si>
    <t xml:space="preserve">Inventario de herramientas</t>
  </si>
  <si>
    <t xml:space="preserve">Hasta 7, atómicas y de mínimo privilegio; la descripción de cada una es un prompt: cuándo usarla, cuándo NO y prerrequisitos</t>
  </si>
  <si>
    <t xml:space="preserve">RF-09, RF-21</t>
  </si>
  <si>
    <t xml:space="preserve">¿Cada herramienta tiene descripción con cuándo usarla, cuándo no y prerrequisitos?</t>
  </si>
  <si>
    <t xml:space="preserve">8.2</t>
  </si>
  <si>
    <t xml:space="preserve">Herramientas de lectura</t>
  </si>
  <si>
    <t xml:space="preserve">Leer entradas por paciente y semana y obtener métricas; ninguna sale a internet</t>
  </si>
  <si>
    <t xml:space="preserve">8.1, 6.2, 4.2</t>
  </si>
  <si>
    <t xml:space="preserve">¿Las herramientas devuelven datos del paciente y no hay acceso directo a la BD?</t>
  </si>
  <si>
    <t xml:space="preserve">8.3</t>
  </si>
  <si>
    <t xml:space="preserve">Herramienta de escritura</t>
  </si>
  <si>
    <t xml:space="preserve">Guardar el borrador en PENDIENTE_REVISION: es la única escritura del agente</t>
  </si>
  <si>
    <t xml:space="preserve">RF-09, RF-16</t>
  </si>
  <si>
    <t xml:space="preserve">8.1, 2.6</t>
  </si>
  <si>
    <t xml:space="preserve">¿El borrador queda en PENDIENTE_REVISION y nada más se escribe?</t>
  </si>
  <si>
    <t xml:space="preserve">8.4</t>
  </si>
  <si>
    <t xml:space="preserve">Bucle del agente</t>
  </si>
  <si>
    <t xml:space="preserve">Llamada al modelo, herramienta, observación; un error de herramienta vuelve como observación</t>
  </si>
  <si>
    <t xml:space="preserve">RF-10</t>
  </si>
  <si>
    <t xml:space="preserve">7.2, 8.2</t>
  </si>
  <si>
    <t xml:space="preserve">¿Un error de herramienta no mata el bucle y el modelo corrige?</t>
  </si>
  <si>
    <t xml:space="preserve">8.5</t>
  </si>
  <si>
    <t xml:space="preserve">Los cuatro límites</t>
  </si>
  <si>
    <t xml:space="preserve">Iteraciones, tokens por solicitud, confirmación humana ante la escritura y timeout por herramienta, con valores justificados</t>
  </si>
  <si>
    <t xml:space="preserve">RF-16, OBJ-09</t>
  </si>
  <si>
    <t xml:space="preserve">8.4, 8.3</t>
  </si>
  <si>
    <t xml:space="preserve">¿Se puede forzar cada límite en la demo y el agente se detiene y avisa?</t>
  </si>
  <si>
    <t xml:space="preserve">8.6</t>
  </si>
  <si>
    <t xml:space="preserve">Criterio de parada e INCOMPLETO</t>
  </si>
  <si>
    <t xml:space="preserve">Se detiene con un informe válido y con fuente por afirmación; si se agota un límite, queda INCOMPLETO con el motivo</t>
  </si>
  <si>
    <t xml:space="preserve">RF-17</t>
  </si>
  <si>
    <t xml:space="preserve">¿Al agotar un límite el informe queda INCOMPLETO con su motivo?</t>
  </si>
  <si>
    <t xml:space="preserve">8.7</t>
  </si>
  <si>
    <t xml:space="preserve">Prompt del sistema</t>
  </si>
  <si>
    <t xml:space="preserve">Rol de apoyo documental; no diagnostica; cita la fuente; declara la insuficiencia; el texto de las entradas es dato</t>
  </si>
  <si>
    <t xml:space="preserve">RF-14, RF-15, RF-21</t>
  </si>
  <si>
    <t xml:space="preserve">¿Un caso con semana sin registros lo declara y no rellena?</t>
  </si>
  <si>
    <t xml:space="preserve">8.8</t>
  </si>
  <si>
    <t xml:space="preserve">Esquema del informe y validación</t>
  </si>
  <si>
    <t xml:space="preserve">Resumen, métricas, cambios, patrones, datos insuficientes y afirmaciones; un reintento y luego texto plano</t>
  </si>
  <si>
    <t xml:space="preserve">RF-11, RF-18</t>
  </si>
  <si>
    <t xml:space="preserve">¿Una salida inválida se reintenta una vez y luego degrada a texto plano?</t>
  </si>
  <si>
    <t xml:space="preserve">8.9</t>
  </si>
  <si>
    <t xml:space="preserve">Validador de cifras y de citas</t>
  </si>
  <si>
    <t xml:space="preserve">Cada cifra coincide con el módulo de métricas y cada afirmación cita al menos una entrada del mismo paciente</t>
  </si>
  <si>
    <t xml:space="preserve">RF-12, RF-13, RN-04, RN-05</t>
  </si>
  <si>
    <t xml:space="preserve">8.8, 6.2</t>
  </si>
  <si>
    <t xml:space="preserve">¿Un informe con una cifra distinta o sin cita es rechazado?</t>
  </si>
  <si>
    <t xml:space="preserve">8.10</t>
  </si>
  <si>
    <t xml:space="preserve">Ejecución en segundo plano</t>
  </si>
  <si>
    <t xml:space="preserve">Ejecutor en proceso con el estado en agent_runs</t>
  </si>
  <si>
    <t xml:space="preserve">D24</t>
  </si>
  <si>
    <t xml:space="preserve">8.4, 2.3</t>
  </si>
  <si>
    <t xml:space="preserve">¿La petición responde de inmediato y el estado se consulta en la BD?</t>
  </si>
  <si>
    <t xml:space="preserve">8.11</t>
  </si>
  <si>
    <t xml:space="preserve">Progreso por SSE</t>
  </si>
  <si>
    <t xml:space="preserve">Eventos reales desde agent_steps, reanudables por el último id</t>
  </si>
  <si>
    <t xml:space="preserve">D24, RNF-05</t>
  </si>
  <si>
    <t xml:space="preserve">¿La pantalla recibe los pasos reales y se reanuda tras cortar la conexión?</t>
  </si>
  <si>
    <t xml:space="preserve">8.12</t>
  </si>
  <si>
    <t xml:space="preserve">Registro de la traza</t>
  </si>
  <si>
    <t xml:space="preserve">Herramienta pedida, parámetros, resultado, ms y tokens en agent_steps</t>
  </si>
  <si>
    <t xml:space="preserve">RF-22, RNF-07</t>
  </si>
  <si>
    <t xml:space="preserve">¿Cada llamada deja herramienta, parámetros, resultado, ms y tokens?</t>
  </si>
  <si>
    <t xml:space="preserve">8.13</t>
  </si>
  <si>
    <t xml:space="preserve">Rechazo de diagnóstico y dosis</t>
  </si>
  <si>
    <t xml:space="preserve">El informe lo omite aunque se lo pidan y dice que está fuera de su alcance</t>
  </si>
  <si>
    <t xml:space="preserve">RF-15, OBJ-08</t>
  </si>
  <si>
    <t xml:space="preserve">¿Pedir un diagnóstico o una dosis recibe una negativa clara?</t>
  </si>
  <si>
    <t xml:space="preserve">9</t>
  </si>
  <si>
    <t xml:space="preserve">Informes: revisión y aprobación</t>
  </si>
  <si>
    <t xml:space="preserve">Pedir un informe, verlo con su evidencia, corregirlo y aprobarlo</t>
  </si>
  <si>
    <t xml:space="preserve">9.1</t>
  </si>
  <si>
    <t xml:space="preserve">API: pedir un informe semanal</t>
  </si>
  <si>
    <t xml:space="preserve">Paciente y semana; responde con el id de la ejecución</t>
  </si>
  <si>
    <t xml:space="preserve">RF-08</t>
  </si>
  <si>
    <t xml:space="preserve">¿Pedir un informe devuelve de inmediato el id de la ejecución?</t>
  </si>
  <si>
    <t xml:space="preserve">9.2</t>
  </si>
  <si>
    <t xml:space="preserve">Estados y transiciones del informe</t>
  </si>
  <si>
    <t xml:space="preserve">PENDIENTE_REVISION, INCOMPLETO, APROBADO y RECHAZADO validados en el servidor</t>
  </si>
  <si>
    <t xml:space="preserve">RF-23, RN-02</t>
  </si>
  <si>
    <t xml:space="preserve">¿Una transición no permitida es rechazada por el servidor?</t>
  </si>
  <si>
    <t xml:space="preserve">9.3</t>
  </si>
  <si>
    <t xml:space="preserve">Editar el borrador con versiones</t>
  </si>
  <si>
    <t xml:space="preserve">La versión 1 del modelo no se toca; cada edición agrega una versión</t>
  </si>
  <si>
    <t xml:space="preserve">RF-25</t>
  </si>
  <si>
    <t xml:space="preserve">¿Se conserva la versión del modelo y cada edición?</t>
  </si>
  <si>
    <t xml:space="preserve">9.4</t>
  </si>
  <si>
    <t xml:space="preserve">Aprobar</t>
  </si>
  <si>
    <t xml:space="preserve">Solo enfermería; queda quién y cuándo; el médico solo ve APROBADO</t>
  </si>
  <si>
    <t xml:space="preserve">RF-26, RN-01, RN-02</t>
  </si>
  <si>
    <t xml:space="preserve">9.2, 3.2</t>
  </si>
  <si>
    <t xml:space="preserve">¿Solo enfermería aprueba y queda quién y cuándo?</t>
  </si>
  <si>
    <t xml:space="preserve">9.5</t>
  </si>
  <si>
    <t xml:space="preserve">Pantalla: pedir informe y ver el progreso</t>
  </si>
  <si>
    <t xml:space="preserve">Estados honestos («Consultando registros…») con los eventos SSE</t>
  </si>
  <si>
    <t xml:space="preserve">RF-08, D24</t>
  </si>
  <si>
    <t xml:space="preserve">9.1, 8.11</t>
  </si>
  <si>
    <t xml:space="preserve">¿Se ven pasos reales mientras el agente trabaja?</t>
  </si>
  <si>
    <t xml:space="preserve">9.6</t>
  </si>
  <si>
    <t xml:space="preserve">Pantalla: informe en lenguaje claro</t>
  </si>
  <si>
    <t xml:space="preserve">Resumen, métricas, cambios y patrones; datos insuficientes declarados</t>
  </si>
  <si>
    <t xml:space="preserve">RF-14, RF-24, RNF-09</t>
  </si>
  <si>
    <t xml:space="preserve">¿El informe se lee en lenguaje claro y declara lo que falta?</t>
  </si>
  <si>
    <t xml:space="preserve">9.7</t>
  </si>
  <si>
    <t xml:space="preserve">Pantalla: evidencia a un clic</t>
  </si>
  <si>
    <t xml:space="preserve">Entradas citadas con fecha y texto, criterio de comparación y llamadas de herramientas</t>
  </si>
  <si>
    <t xml:space="preserve">RF-12, RF-24</t>
  </si>
  <si>
    <t xml:space="preserve">¿Cada afirmación abre su entrada original y su criterio?</t>
  </si>
  <si>
    <t xml:space="preserve">9.8</t>
  </si>
  <si>
    <t xml:space="preserve">Pantalla: editar el borrador y aprobar</t>
  </si>
  <si>
    <t xml:space="preserve">Edición del borrador y botón de aprobar visible solo para enfermería</t>
  </si>
  <si>
    <t xml:space="preserve">RF-25, RF-26</t>
  </si>
  <si>
    <t xml:space="preserve">9.3, 9.4, 9.6</t>
  </si>
  <si>
    <t xml:space="preserve">¿Enfermería edita y aprueba desde la pantalla y el médico no ve el botón?</t>
  </si>
  <si>
    <t xml:space="preserve">9.9</t>
  </si>
  <si>
    <t xml:space="preserve">Pantalla: visor de trazas</t>
  </si>
  <si>
    <t xml:space="preserve">Cada ejecución con herramienta, parámetros, resultado, ms y tokens</t>
  </si>
  <si>
    <t xml:space="preserve">¿Se ve la traza completa de una ejecución?</t>
  </si>
  <si>
    <t xml:space="preserve">9.10</t>
  </si>
  <si>
    <t xml:space="preserve">(Si hay tiempo) Rechazar con motivo y pedir uno nuevo</t>
  </si>
  <si>
    <t xml:space="preserve">Enfermería rechaza con motivo y se puede pedir otro informe del mismo período</t>
  </si>
  <si>
    <t xml:space="preserve">RF-27</t>
  </si>
  <si>
    <t xml:space="preserve">¿Rechazar exige motivo y permite pedir uno nuevo?</t>
  </si>
  <si>
    <t xml:space="preserve">10</t>
  </si>
  <si>
    <t xml:space="preserve">Vista del médico</t>
  </si>
  <si>
    <t xml:space="preserve">El médico solo ve informes aprobados</t>
  </si>
  <si>
    <t xml:space="preserve">10.1</t>
  </si>
  <si>
    <t xml:space="preserve">API del médico</t>
  </si>
  <si>
    <t xml:space="preserve">Pacientes e informes APROBADOS por paciente y período, del más reciente al más antiguo; la regla de estado va en la consulta</t>
  </si>
  <si>
    <t xml:space="preserve">RF-28, RN-01</t>
  </si>
  <si>
    <t xml:space="preserve">¿Un informe pendiente no aparece para el médico?</t>
  </si>
  <si>
    <t xml:space="preserve">10.2</t>
  </si>
  <si>
    <t xml:space="preserve">Pantalla del médico</t>
  </si>
  <si>
    <t xml:space="preserve">Lista de pacientes y detalle del informe aprobado</t>
  </si>
  <si>
    <t xml:space="preserve">RF-28</t>
  </si>
  <si>
    <t xml:space="preserve">10.1, 9.6</t>
  </si>
  <si>
    <t xml:space="preserve">¿El médico ve la lista y el detalle de un informe aprobado?</t>
  </si>
  <si>
    <t xml:space="preserve">10.3</t>
  </si>
  <si>
    <t xml:space="preserve">(Si hay tiempo) Evidencia para el médico</t>
  </si>
  <si>
    <t xml:space="preserve">Entradas citadas y llamadas de herramientas en el informe aprobado</t>
  </si>
  <si>
    <t xml:space="preserve">RF-29</t>
  </si>
  <si>
    <t xml:space="preserve">10.2, 9.7</t>
  </si>
  <si>
    <t xml:space="preserve">¿El médico abre la evidencia de un informe aprobado?</t>
  </si>
  <si>
    <t xml:space="preserve">10.4</t>
  </si>
  <si>
    <t xml:space="preserve">(Si hay tiempo) El médico registra entradas</t>
  </si>
  <si>
    <t xml:space="preserve">El mismo registro con el permiso del médico; se sabe qué médico lo hizo</t>
  </si>
  <si>
    <t xml:space="preserve">RF-30, D12</t>
  </si>
  <si>
    <t xml:space="preserve">4.5, 3.2</t>
  </si>
  <si>
    <t xml:space="preserve">¿Una entrada del médico queda con su autor?</t>
  </si>
  <si>
    <t xml:space="preserve">10.5</t>
  </si>
  <si>
    <t xml:space="preserve">(Si hay tiempo) Auditoría de acciones sensibles</t>
  </si>
  <si>
    <t xml:space="preserve">audit_logs: aprobar, rechazar, editar y registro del médico, con quién, cuándo, antes y después</t>
  </si>
  <si>
    <t xml:space="preserve">RF-35, D12</t>
  </si>
  <si>
    <t xml:space="preserve">2.4, 9.4</t>
  </si>
  <si>
    <t xml:space="preserve">¿Cada acción sensible deja quién, cuándo, antes y después?</t>
  </si>
  <si>
    <t xml:space="preserve">11</t>
  </si>
  <si>
    <t xml:space="preserve">Informe mensual (RF-36)</t>
  </si>
  <si>
    <t xml:space="preserve">Informe de cuatro semanas completas consecutivas, cada una con informe semanal aprobado</t>
  </si>
  <si>
    <t xml:space="preserve">11.1</t>
  </si>
  <si>
    <t xml:space="preserve">Regla de las cuatro semanas aprobadas</t>
  </si>
  <si>
    <t xml:space="preserve">Cuatro semanas completas consecutivas, cada una con informe semanal APROBADO; si falta una, no se genera y dice cuál</t>
  </si>
  <si>
    <t xml:space="preserve">RF-36, RN-10</t>
  </si>
  <si>
    <t xml:space="preserve">¿Con una semana sin aprobar no se genera y se indica cuál falta?</t>
  </si>
  <si>
    <t xml:space="preserve">11.2</t>
  </si>
  <si>
    <t xml:space="preserve">Generación del mensual</t>
  </si>
  <si>
    <t xml:space="preserve">El agente lee los semanales aprobados y las métricas; evolución semana a semana; guarda monthly_report_weeks</t>
  </si>
  <si>
    <t xml:space="preserve">RF-36, OBJ-03</t>
  </si>
  <si>
    <t xml:space="preserve">11.1, 8.10</t>
  </si>
  <si>
    <t xml:space="preserve">¿El mensual del paciente 1 muestra la evolución semana a semana?</t>
  </si>
  <si>
    <t xml:space="preserve">11.3</t>
  </si>
  <si>
    <t xml:space="preserve">Pantalla del mensual</t>
  </si>
  <si>
    <t xml:space="preserve">Pedirlo, ver la evolución y el aviso de la semana que falta</t>
  </si>
  <si>
    <t xml:space="preserve">RF-36</t>
  </si>
  <si>
    <t xml:space="preserve">11.2, 9.6</t>
  </si>
  <si>
    <t xml:space="preserve">¿Se pide el mensual y se ve la evolución o el aviso?</t>
  </si>
  <si>
    <t xml:space="preserve">12</t>
  </si>
  <si>
    <t xml:space="preserve">Evaluación y trazas visibles</t>
  </si>
  <si>
    <t xml:space="preserve">Casos dorados, script de la suite y las cuatro cifras de la línea base</t>
  </si>
  <si>
    <t xml:space="preserve">12.1</t>
  </si>
  <si>
    <t xml:space="preserve">Casos dorados</t>
  </si>
  <si>
    <t xml:space="preserve">5 a 10 con la respuesta verificada a mano contra los datos, al menos uno de rechazo</t>
  </si>
  <si>
    <t xml:space="preserve">OBJ-08, OBJ-11</t>
  </si>
  <si>
    <t xml:space="preserve">2.8, 2.9, 2.10, 2.11, 2.12</t>
  </si>
  <si>
    <t xml:space="preserve">¿Hay de 5 a 10 casos verificados a mano y al menos uno de rechazo?</t>
  </si>
  <si>
    <t xml:space="preserve">12.2</t>
  </si>
  <si>
    <t xml:space="preserve">Casos de estructuración</t>
  </si>
  <si>
    <t xml:space="preserve">Síntomas, intensidad, veces, negaciones y sin síntomas</t>
  </si>
  <si>
    <t xml:space="preserve">OBJ-11, D27</t>
  </si>
  <si>
    <t xml:space="preserve">¿Los casos cubren síntomas, intensidad, veces, negaciones y sin síntomas?</t>
  </si>
  <si>
    <t xml:space="preserve">12.3</t>
  </si>
  <si>
    <t xml:space="preserve">Script de la suite</t>
  </si>
  <si>
    <t xml:space="preserve">Corre los casos y también la solución convencional sin modelo, para compararlas</t>
  </si>
  <si>
    <t xml:space="preserve">OBJ-11, OBJ-12</t>
  </si>
  <si>
    <t xml:space="preserve">12.1, 12.2</t>
  </si>
  <si>
    <t xml:space="preserve">¿Un solo comando corre la suite completa?</t>
  </si>
  <si>
    <t xml:space="preserve">12.4</t>
  </si>
  <si>
    <t xml:space="preserve">Las cuatro cifras de la línea base</t>
  </si>
  <si>
    <t xml:space="preserve">Tasa de éxito, costo por tarea, mediana de latencia y recuperación, con fecha y método, en docs/decisiones/semana10.md</t>
  </si>
  <si>
    <t xml:space="preserve">OBJ-11</t>
  </si>
  <si>
    <t xml:space="preserve">12.3, 8.10</t>
  </si>
  <si>
    <t xml:space="preserve">¿Las cuatro cifras tienen fecha, método y comparación con la solución convencional?</t>
  </si>
  <si>
    <t xml:space="preserve">12.5</t>
  </si>
  <si>
    <t xml:space="preserve">Mapa de autonomía por acción</t>
  </si>
  <si>
    <t xml:space="preserve">docs/decisiones/semana06.md</t>
  </si>
  <si>
    <t xml:space="preserve">OBJ-09</t>
  </si>
  <si>
    <t xml:space="preserve">¿Cada acción del agente tiene su nivel y su razón?</t>
  </si>
  <si>
    <t xml:space="preserve">12.6</t>
  </si>
  <si>
    <t xml:space="preserve">Pruebas automáticas de las reglas críticas</t>
  </si>
  <si>
    <t xml:space="preserve">Aprobación, permisos, validador de cifras y citas, y esquema</t>
  </si>
  <si>
    <t xml:space="preserve">RNF-11</t>
  </si>
  <si>
    <t xml:space="preserve">8.9, 9.4</t>
  </si>
  <si>
    <t xml:space="preserve">¿La verificación del proyecto pasa y cubre esas reglas?</t>
  </si>
  <si>
    <t xml:space="preserve">13</t>
  </si>
  <si>
    <t xml:space="preserve">Documentación y decisiones</t>
  </si>
  <si>
    <t xml:space="preserve">README ejecutable y decisiones técnicas justificadas, que el profesor va a preguntar</t>
  </si>
  <si>
    <t xml:space="preserve">13.1</t>
  </si>
  <si>
    <t xml:space="preserve">Confirmar las decisiones propuestas</t>
  </si>
  <si>
    <t xml:space="preserve">D26 (sesión de demostración), D27 (estructuración), D4 (mes de cuatro semanas) y el catálogo de síntomas de D18</t>
  </si>
  <si>
    <t xml:space="preserve">D4, D18, D26, D27</t>
  </si>
  <si>
    <t xml:space="preserve">¿Las cuatro tienen estado «Decidida» en SPEC §7?</t>
  </si>
  <si>
    <t xml:space="preserve">13.2</t>
  </si>
  <si>
    <t xml:space="preserve">README ejecutable</t>
  </si>
  <si>
    <t xml:space="preserve">Docker Compose v2, motor de BD e imagen, comando, URL, usuarios de demostración, proveedor y modelo con su razón, cómo cambiar de proveedor y qué pasa sin llave</t>
  </si>
  <si>
    <t xml:space="preserve">OBJ-13, RNF-08</t>
  </si>
  <si>
    <t xml:space="preserve">1.6, 7.1</t>
  </si>
  <si>
    <t xml:space="preserve">¿Una IA que solo lee el README llega a la app corriendo?</t>
  </si>
  <si>
    <t xml:space="preserve">13.3</t>
  </si>
  <si>
    <t xml:space="preserve">docs/decisiones.md</t>
  </si>
  <si>
    <t xml:space="preserve">D9 (Spring Boot, Angular y Java 17), D8 (sin RAG), D15, D24 (asíncrono con SSE), D27 (misma petición frente al agente) y cada herramienta, con la alternativa descartada</t>
  </si>
  <si>
    <t xml:space="preserve">OBJ-16, RNF-14</t>
  </si>
  <si>
    <t xml:space="preserve">¿Cada decisión técnica tiene razón y alternativa descartada?</t>
  </si>
  <si>
    <t xml:space="preserve">13.4</t>
  </si>
  <si>
    <t xml:space="preserve">docs/decisiones/semana08.md</t>
  </si>
  <si>
    <t xml:space="preserve">Por qué consulta directa a la BD y no RAG</t>
  </si>
  <si>
    <t xml:space="preserve">D8</t>
  </si>
  <si>
    <t xml:space="preserve">¿Responde por qué RAG o por qué no?</t>
  </si>
  <si>
    <t xml:space="preserve">13.5</t>
  </si>
  <si>
    <t xml:space="preserve">Límites del agente con valores y justificación</t>
  </si>
  <si>
    <t xml:space="preserve">Valor y razón de cada uno de los cuatro límites en docs/decisiones/</t>
  </si>
  <si>
    <t xml:space="preserve">¿Cada límite tiene su valor y su razón escritos?</t>
  </si>
  <si>
    <t xml:space="preserve">13.6</t>
  </si>
  <si>
    <t xml:space="preserve">Evidencia de la necesidad de IA (D17)</t>
  </si>
  <si>
    <t xml:space="preserve">Fecha y medio (clase o correo) de la aprobación</t>
  </si>
  <si>
    <t xml:space="preserve">D17</t>
  </si>
  <si>
    <t xml:space="preserve">¿Hay fecha y medio guardados en docs/decisiones/?</t>
  </si>
  <si>
    <t xml:space="preserve">13.7</t>
  </si>
  <si>
    <t xml:space="preserve">Actualizar docs/PLAN.md con esta EDT</t>
  </si>
  <si>
    <t xml:space="preserve">Dejar en el plan la ruta y el reparto que salgan de este archivo</t>
  </si>
  <si>
    <t xml:space="preserve">Método del curso</t>
  </si>
  <si>
    <t xml:space="preserve">¿PLAN.md refleja el reparto y el orden reales?</t>
  </si>
  <si>
    <t xml:space="preserve">14</t>
  </si>
  <si>
    <t xml:space="preserve">Entrega, ensayo y demo</t>
  </si>
  <si>
    <t xml:space="preserve">Versión congelada en el tag m2-entrega, enlace entregado antes del jueves a medianoche y demo ensayada</t>
  </si>
  <si>
    <t xml:space="preserve">14.1</t>
  </si>
  <si>
    <t xml:space="preserve">Buscar llaves y secretos en el repo y su historial</t>
  </si>
  <si>
    <t xml:space="preserve">Escaneo del árbol y del historial antes de entregar</t>
  </si>
  <si>
    <t xml:space="preserve">RNF-01, D22</t>
  </si>
  <si>
    <t xml:space="preserve">¿El repositorio y su historial están libres de llaves y secretos reales?</t>
  </si>
  <si>
    <t xml:space="preserve">14.2</t>
  </si>
  <si>
    <t xml:space="preserve">Crear la llave temporal del profesor</t>
  </si>
  <si>
    <t xml:space="preserve">Llave de capa gratuita creada solo para la calificación y revocable; se envía por mensaje privado, nunca al repo</t>
  </si>
  <si>
    <t xml:space="preserve">¿Existe la llave temporal y no está en ningún archivo del repo?</t>
  </si>
  <si>
    <t xml:space="preserve">14.3</t>
  </si>
  <si>
    <t xml:space="preserve">Prueba en frío con un clon limpio</t>
  </si>
  <si>
    <t xml:space="preserve">Una IA que solo lee el README levanta la app, con llave y sin llave</t>
  </si>
  <si>
    <t xml:space="preserve">OBJ-13, RNF-13</t>
  </si>
  <si>
    <t xml:space="preserve">13.2, 1.6, 2.14</t>
  </si>
  <si>
    <t xml:space="preserve">¿Un clon limpio llega a la app corriendo sin pasos manuales?</t>
  </si>
  <si>
    <t xml:space="preserve">14.4</t>
  </si>
  <si>
    <t xml:space="preserve">Revisión con contexto fresco</t>
  </si>
  <si>
    <t xml:space="preserve">Una sesión nueva revisa lo crítico: permisos, límites y aprobación</t>
  </si>
  <si>
    <t xml:space="preserve">3.3, 8.5, 9.4</t>
  </si>
  <si>
    <t xml:space="preserve">¿Quien revisa no es quien escribió y los hallazgos quedaron atendidos?</t>
  </si>
  <si>
    <t xml:space="preserve">14.5</t>
  </si>
  <si>
    <t xml:space="preserve">Congelar: tag m2-entrega</t>
  </si>
  <si>
    <t xml:space="preserve">Crear el tag y comprobar que la demo corre desde él</t>
  </si>
  <si>
    <t xml:space="preserve">D21</t>
  </si>
  <si>
    <t xml:space="preserve">¿Existe el tag y la app corre desde él?</t>
  </si>
  <si>
    <t xml:space="preserve">14.6</t>
  </si>
  <si>
    <t xml:space="preserve">Enlace en el aula virtual</t>
  </si>
  <si>
    <t xml:space="preserve">Antes del jueves 29 a medianoche; el mensaje incluye cómo recibir la llave temporal</t>
  </si>
  <si>
    <t xml:space="preserve">D21, D22</t>
  </si>
  <si>
    <t xml:space="preserve">14.5, 14.2</t>
  </si>
  <si>
    <t xml:space="preserve">¿El enlace está entregado antes de medianoche?</t>
  </si>
  <si>
    <t xml:space="preserve">14.7</t>
  </si>
  <si>
    <t xml:space="preserve">Ensayo de la demo de 6 minutos</t>
  </si>
  <si>
    <t xml:space="preserve">Ciclo completo, fallos forzados, trazas y límites</t>
  </si>
  <si>
    <t xml:space="preserve">OBJ-10, OBJ-11</t>
  </si>
  <si>
    <t xml:space="preserve">Vie 30</t>
  </si>
  <si>
    <t xml:space="preserve">¿El ensayo cabe en 6 minutos y muestra los tres fallos y los límites?</t>
  </si>
  <si>
    <t xml:space="preserve">14.8</t>
  </si>
  <si>
    <t xml:space="preserve">Preparar las respuestas sobre las decisiones</t>
  </si>
  <si>
    <t xml:space="preserve">Cada integrante responde por todo: proveedor, RAG, síncrono o asíncrono, herramientas</t>
  </si>
  <si>
    <t xml:space="preserve">RNF-14, OBJ-16</t>
  </si>
  <si>
    <t xml:space="preserve">¿Cada integrante explica cada decisión sin leer?</t>
  </si>
  <si>
    <t xml:space="preserve">14.9</t>
  </si>
  <si>
    <t xml:space="preserve">Demo y preguntas</t>
  </si>
  <si>
    <t xml:space="preserve">6 minutos de demo y 3 de preguntas</t>
  </si>
  <si>
    <t xml:space="preserve">Sáb 31</t>
  </si>
  <si>
    <t xml:space="preserve">¿Se hizo la demo?</t>
  </si>
  <si>
    <t xml:space="preserve">15</t>
  </si>
  <si>
    <t xml:space="preserve">Opcionales (solo si todo lo demás está cerrado)</t>
  </si>
  <si>
    <t xml:space="preserve">PDF y voz entran únicamente con el núcleo cerrado, y hay que poder justificar la tecnología</t>
  </si>
  <si>
    <t xml:space="preserve">15.1</t>
  </si>
  <si>
    <t xml:space="preserve">(Opcional) Exportar a PDF un informe aprobado</t>
  </si>
  <si>
    <t xml:space="preserve">Con aprobador, fecha, id del informe y nota de asistencia de IA</t>
  </si>
  <si>
    <t xml:space="preserve">RF-37, D13</t>
  </si>
  <si>
    <t xml:space="preserve">Opc</t>
  </si>
  <si>
    <t xml:space="preserve">4 · Opcional</t>
  </si>
  <si>
    <t xml:space="preserve">¿El PDF de un informe aprobado trae aprobador, fecha, id y la nota de IA?</t>
  </si>
  <si>
    <t xml:space="preserve">15.2</t>
  </si>
  <si>
    <t xml:space="preserve">(Opcional) Dictado por voz</t>
  </si>
  <si>
    <t xml:space="preserve">Transcripción editable antes de guardar, origen VOZ y sin guardar el audio</t>
  </si>
  <si>
    <t xml:space="preserve">RF-38, D14</t>
  </si>
  <si>
    <t xml:space="preserve">¿Se dicta, se edita la transcripción y no se guarda el audio?</t>
  </si>
  <si>
    <t xml:space="preserve">Cronograma por día — miércoles 28 a sábado 31</t>
  </si>
  <si>
    <t xml:space="preserve">Todo sale de la hoja EDT (columnas Día, Horas est., Responsable, Frente y Estado). Cambie el día de una tarea o márquela «Recortada» y esta hoja se recalcula sola.</t>
  </si>
  <si>
    <t xml:space="preserve">Personas en el equipo</t>
  </si>
  <si>
    <t xml:space="preserve">← suposición: el equipo son dos personas</t>
  </si>
  <si>
    <t xml:space="preserve">1 · Carga por día</t>
  </si>
  <si>
    <t xml:space="preserve">Qué toca</t>
  </si>
  <si>
    <t xml:space="preserve">Capacidad por persona (h)</t>
  </si>
  <si>
    <t xml:space="preserve">Capacidad del equipo (h)</t>
  </si>
  <si>
    <t xml:space="preserve">Horas planeadas</t>
  </si>
  <si>
    <t xml:space="preserve">Carga</t>
  </si>
  <si>
    <t xml:space="preserve">Sin asignar</t>
  </si>
  <si>
    <t xml:space="preserve">Arranque en frío, datos y semilla, registro con IA, métricas, proveedor y agente.</t>
  </si>
  <si>
    <t xml:space="preserve">Informes (revisión y aprobación), vista del médico, mensual, evaluación, prueba en frío, tag m2-entrega y enlace en el aula virtual antes de la medianoche.</t>
  </si>
  <si>
    <t xml:space="preserve">Congelado: ensayo de la demo de 6 minutos y respuestas sobre las decisiones. No se integra nada nuevo.</t>
  </si>
  <si>
    <t xml:space="preserve">Demo en vivo: 6 minutos más 3 de preguntas.</t>
  </si>
  <si>
    <t xml:space="preserve">Total Mié a Sáb</t>
  </si>
  <si>
    <t xml:space="preserve">Horas de sobrecarga (suma de los días que se pasan de su capacidad)</t>
  </si>
  <si>
    <t xml:space="preserve">2 · Qué cabe antes de la medianoche del jueves (tareas planeadas para Mié y Jue)</t>
  </si>
  <si>
    <t xml:space="preserve">Qué incluye</t>
  </si>
  <si>
    <t xml:space="preserve">Horas</t>
  </si>
  <si>
    <t xml:space="preserve">Acumulado (h)</t>
  </si>
  <si>
    <t xml:space="preserve">Capacidad Mié+Jue (h)</t>
  </si>
  <si>
    <t xml:space="preserve">Resultado</t>
  </si>
  <si>
    <t xml:space="preserve">Margen (h)</t>
  </si>
  <si>
    <t xml:space="preserve">Puerta de aceptación y causas de anulación: app que levanta sola, agente con sus límites, trazas y cifras, aprobación por enfermería, entrega.</t>
  </si>
  <si>
    <t xml:space="preserve">El resto del núcleo de M2 (M2-N).</t>
  </si>
  <si>
    <t xml:space="preserve">«Si hay tiempo» (M2-S): es lo primero que se recorta.</t>
  </si>
  <si>
    <t xml:space="preserve">Opcionales (PDF y voz): solo con todo lo demás cerrado.</t>
  </si>
  <si>
    <t xml:space="preserve">Cómo leerlo: «Cabe» quiere decir que todo lo de esa prioridad y de las anteriores, planeado para Mié y Jue, entra en la capacidad del equipo de esos dos días. Donde aparezca el primer «No cabe» hay que recortar (Estado = Recortada en la hoja EDT) o revisar las horas estimadas con las «Horas reales».</t>
  </si>
  <si>
    <t xml:space="preserve">3 · Tareas por día</t>
  </si>
  <si>
    <t xml:space="preserve">Breiner</t>
  </si>
  <si>
    <t xml:space="preserve">Andres</t>
  </si>
  <si>
    <t xml:space="preserve">En curso</t>
  </si>
  <si>
    <t xml:space="preserve">Bloqueada</t>
  </si>
  <si>
    <t xml:space="preserve">Hecha</t>
  </si>
  <si>
    <t xml:space="preserve">Recortada</t>
  </si>
  <si>
    <t xml:space="preserve">Estas listas alimentan los desplegables de la hoja EDT y los encabezados del Cronograma.</t>
  </si>
  <si>
    <t xml:space="preserve">Si cambia un nombre aquí (por ejemplo un día), cámbielo también en la hoja EDT con Buscar y reemplazar.</t>
  </si>
  <si>
    <t xml:space="preserve">El equipo son dos personas; el Cronograma muestra una columna por cada una de las dos primeras filas de «Responsable».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</si>
</sst>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D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1F4E79"/>
      </patternFill>
    </fill>
    <fill>
      <patternFill patternType="solid">
        <fgColor rgb="FFD9E2F3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ont>
        <strike val="1"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1F4E79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 patternType="solid">
          <fgColor rgb="FFBDD7EE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</dxf>
    <dxf>
      <font>
        <b val="1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D9E2F3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true"/>
  </sheetPr>
  <dimension ref="A1:P12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50"/>
    <col collapsed="false" customWidth="true" hidden="false" outlineLevel="0" max="16" min="16" style="0" width="28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 t="s">
        <v>2</v>
      </c>
      <c r="C3" s="3"/>
      <c r="D3" s="3"/>
      <c r="E3" s="3"/>
      <c r="F3" s="3"/>
      <c r="G3" s="3"/>
      <c r="H3" s="3"/>
      <c r="I3" s="3"/>
      <c r="J3" s="3"/>
      <c r="K3" s="4" t="n">
        <f aca="false">K7+K15+K30+K35+K41+K51+K55+K62+K76+K87+K93+K97+K104+K112+K122</f>
        <v>185</v>
      </c>
      <c r="L3" s="4" t="n">
        <f aca="false">L7+L15+L30+L35+L41+L51+L55+L62+L76+L87+L93+L97+L104+L112+L122</f>
        <v>0</v>
      </c>
      <c r="M3" s="3"/>
      <c r="N3" s="5" t="n">
        <f aca="false">IFERROR((K7*N7+K15*N15+K30*N30+K35*N35+K41*N41+K51*N51+K55*N55+K62*N62+K76*N76+K87*N87+K93*N93+K97*N97+K104*N104+K112*N112+K122*N122)/K3,0)</f>
        <v>0</v>
      </c>
      <c r="O3" s="3"/>
      <c r="P3" s="3"/>
    </row>
    <row r="4" customFormat="false" ht="42" hidden="false" customHeight="true" outlineLevel="0" collapsed="false">
      <c r="B4" s="6" t="s">
        <v>3</v>
      </c>
      <c r="C4" s="7" t="s">
        <v>4</v>
      </c>
      <c r="D4" s="8" t="s">
        <v>5</v>
      </c>
    </row>
    <row r="5" customFormat="false" ht="6" hidden="false" customHeight="true" outlineLevel="0" collapsed="false"/>
    <row r="6" customFormat="false" ht="33.75" hidden="false" customHeight="true" outlineLevel="0" collapsed="false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9" t="s">
        <v>17</v>
      </c>
      <c r="M6" s="9" t="s">
        <v>18</v>
      </c>
      <c r="N6" s="9" t="s">
        <v>19</v>
      </c>
      <c r="O6" s="9" t="s">
        <v>20</v>
      </c>
      <c r="P6" s="9" t="s">
        <v>21</v>
      </c>
    </row>
    <row r="7" customFormat="false" ht="23.85" hidden="false" customHeight="false" outlineLevel="0" collapsed="false">
      <c r="A7" s="10" t="s">
        <v>22</v>
      </c>
      <c r="B7" s="11" t="s">
        <v>23</v>
      </c>
      <c r="C7" s="12" t="s">
        <v>24</v>
      </c>
      <c r="D7" s="11" t="s">
        <v>25</v>
      </c>
      <c r="E7" s="11"/>
      <c r="F7" s="11"/>
      <c r="G7" s="11"/>
      <c r="H7" s="11"/>
      <c r="I7" s="11"/>
      <c r="J7" s="11"/>
      <c r="K7" s="13" t="n">
        <f aca="false">SUMIFS(K8:K14,M8:M14,"&lt;&gt;Recortada")</f>
        <v>9.5</v>
      </c>
      <c r="L7" s="13" t="n">
        <f aca="false">SUM(L8:L14)</f>
        <v>0</v>
      </c>
      <c r="M7" s="10" t="str">
        <f aca="false">IF(COUNTIF(M8:M14,"Recortada")=COUNTA(M8:M14),"Recortada",IF(COUNTIF(M8:M14,"Hecha")+COUNTIF(M8:M14,"Recortada")=COUNTA(M8:M14),"Hecha",IF(COUNTIF(M8:M14,"Bloqueada")&gt;0,"Bloqueada",IF(COUNTIF(M8:M14,"En curso")+COUNTIF(M8:M14,"Hecha")&gt;0,"En curso","Pendiente"))))</f>
        <v>Pendiente</v>
      </c>
      <c r="N7" s="14" t="n">
        <f aca="false">IFERROR(SUMPRODUCT((M8:M14&lt;&gt;"Recortada")*K8:K14*N8:N14)/K7,0)</f>
        <v>0</v>
      </c>
      <c r="O7" s="11"/>
      <c r="P7" s="11"/>
    </row>
    <row r="8" customFormat="false" ht="23.85" hidden="false" customHeight="false" outlineLevel="1" collapsed="false">
      <c r="A8" s="15" t="s">
        <v>26</v>
      </c>
      <c r="B8" s="16" t="s">
        <v>27</v>
      </c>
      <c r="C8" s="17" t="s">
        <v>28</v>
      </c>
      <c r="D8" s="18" t="s">
        <v>25</v>
      </c>
      <c r="E8" s="19"/>
      <c r="F8" s="17" t="s">
        <v>29</v>
      </c>
      <c r="G8" s="20" t="s">
        <v>30</v>
      </c>
      <c r="H8" s="20" t="s">
        <v>31</v>
      </c>
      <c r="I8" s="15" t="s">
        <v>32</v>
      </c>
      <c r="J8" s="20" t="s">
        <v>33</v>
      </c>
      <c r="K8" s="21" t="n">
        <v>1</v>
      </c>
      <c r="L8" s="22"/>
      <c r="M8" s="19" t="s">
        <v>34</v>
      </c>
      <c r="N8" s="23" t="n">
        <f aca="false">IF(M8="Hecha",1,IF(M8="En curso",0.5,0))</f>
        <v>0</v>
      </c>
      <c r="O8" s="17" t="s">
        <v>35</v>
      </c>
      <c r="P8" s="24"/>
    </row>
    <row r="9" customFormat="false" ht="15" hidden="false" customHeight="false" outlineLevel="1" collapsed="false">
      <c r="A9" s="15" t="s">
        <v>36</v>
      </c>
      <c r="B9" s="16" t="s">
        <v>37</v>
      </c>
      <c r="C9" s="17" t="s">
        <v>38</v>
      </c>
      <c r="D9" s="18" t="s">
        <v>25</v>
      </c>
      <c r="E9" s="19"/>
      <c r="F9" s="17" t="s">
        <v>39</v>
      </c>
      <c r="G9" s="20" t="s">
        <v>30</v>
      </c>
      <c r="H9" s="20" t="s">
        <v>31</v>
      </c>
      <c r="I9" s="15" t="s">
        <v>26</v>
      </c>
      <c r="J9" s="20" t="s">
        <v>33</v>
      </c>
      <c r="K9" s="21" t="n">
        <v>1</v>
      </c>
      <c r="L9" s="22"/>
      <c r="M9" s="19" t="s">
        <v>34</v>
      </c>
      <c r="N9" s="23" t="n">
        <f aca="false">IF(M9="Hecha",1,IF(M9="En curso",0.5,0))</f>
        <v>0</v>
      </c>
      <c r="O9" s="17" t="s">
        <v>40</v>
      </c>
      <c r="P9" s="24"/>
    </row>
    <row r="10" customFormat="false" ht="23.85" hidden="false" customHeight="false" outlineLevel="1" collapsed="false">
      <c r="A10" s="15" t="s">
        <v>41</v>
      </c>
      <c r="B10" s="16" t="s">
        <v>42</v>
      </c>
      <c r="C10" s="17" t="s">
        <v>43</v>
      </c>
      <c r="D10" s="18" t="s">
        <v>25</v>
      </c>
      <c r="E10" s="19"/>
      <c r="F10" s="17" t="s">
        <v>44</v>
      </c>
      <c r="G10" s="20" t="s">
        <v>30</v>
      </c>
      <c r="H10" s="20" t="s">
        <v>31</v>
      </c>
      <c r="I10" s="15" t="s">
        <v>32</v>
      </c>
      <c r="J10" s="20" t="s">
        <v>33</v>
      </c>
      <c r="K10" s="21" t="n">
        <v>1.5</v>
      </c>
      <c r="L10" s="22"/>
      <c r="M10" s="19" t="s">
        <v>34</v>
      </c>
      <c r="N10" s="23" t="n">
        <f aca="false">IF(M10="Hecha",1,IF(M10="En curso",0.5,0))</f>
        <v>0</v>
      </c>
      <c r="O10" s="17" t="s">
        <v>45</v>
      </c>
      <c r="P10" s="24"/>
    </row>
    <row r="11" customFormat="false" ht="23.85" hidden="false" customHeight="false" outlineLevel="1" collapsed="false">
      <c r="A11" s="15" t="s">
        <v>46</v>
      </c>
      <c r="B11" s="16" t="s">
        <v>47</v>
      </c>
      <c r="C11" s="17" t="s">
        <v>48</v>
      </c>
      <c r="D11" s="18" t="s">
        <v>25</v>
      </c>
      <c r="E11" s="19"/>
      <c r="F11" s="17" t="s">
        <v>49</v>
      </c>
      <c r="G11" s="20" t="s">
        <v>30</v>
      </c>
      <c r="H11" s="20" t="s">
        <v>31</v>
      </c>
      <c r="I11" s="15" t="s">
        <v>50</v>
      </c>
      <c r="J11" s="20" t="s">
        <v>33</v>
      </c>
      <c r="K11" s="21" t="n">
        <v>2</v>
      </c>
      <c r="L11" s="22"/>
      <c r="M11" s="19" t="s">
        <v>34</v>
      </c>
      <c r="N11" s="23" t="n">
        <f aca="false">IF(M11="Hecha",1,IF(M11="En curso",0.5,0))</f>
        <v>0</v>
      </c>
      <c r="O11" s="17" t="s">
        <v>51</v>
      </c>
      <c r="P11" s="24"/>
    </row>
    <row r="12" customFormat="false" ht="23.85" hidden="false" customHeight="false" outlineLevel="1" collapsed="false">
      <c r="A12" s="15" t="s">
        <v>52</v>
      </c>
      <c r="B12" s="16" t="s">
        <v>53</v>
      </c>
      <c r="C12" s="17" t="s">
        <v>54</v>
      </c>
      <c r="D12" s="18" t="s">
        <v>25</v>
      </c>
      <c r="E12" s="19"/>
      <c r="F12" s="17" t="s">
        <v>55</v>
      </c>
      <c r="G12" s="20" t="s">
        <v>30</v>
      </c>
      <c r="H12" s="20" t="s">
        <v>31</v>
      </c>
      <c r="I12" s="15" t="s">
        <v>32</v>
      </c>
      <c r="J12" s="20" t="s">
        <v>33</v>
      </c>
      <c r="K12" s="21" t="n">
        <v>0.5</v>
      </c>
      <c r="L12" s="22"/>
      <c r="M12" s="19" t="s">
        <v>34</v>
      </c>
      <c r="N12" s="23" t="n">
        <f aca="false">IF(M12="Hecha",1,IF(M12="En curso",0.5,0))</f>
        <v>0</v>
      </c>
      <c r="O12" s="17" t="s">
        <v>56</v>
      </c>
      <c r="P12" s="24"/>
    </row>
    <row r="13" customFormat="false" ht="35.05" hidden="false" customHeight="false" outlineLevel="1" collapsed="false">
      <c r="A13" s="15" t="s">
        <v>57</v>
      </c>
      <c r="B13" s="16" t="s">
        <v>58</v>
      </c>
      <c r="C13" s="17" t="s">
        <v>59</v>
      </c>
      <c r="D13" s="18" t="s">
        <v>25</v>
      </c>
      <c r="E13" s="19"/>
      <c r="F13" s="17" t="s">
        <v>49</v>
      </c>
      <c r="G13" s="20" t="s">
        <v>30</v>
      </c>
      <c r="H13" s="20" t="s">
        <v>31</v>
      </c>
      <c r="I13" s="15" t="s">
        <v>60</v>
      </c>
      <c r="J13" s="20" t="s">
        <v>33</v>
      </c>
      <c r="K13" s="21" t="n">
        <v>2</v>
      </c>
      <c r="L13" s="22"/>
      <c r="M13" s="19" t="s">
        <v>34</v>
      </c>
      <c r="N13" s="23" t="n">
        <f aca="false">IF(M13="Hecha",1,IF(M13="En curso",0.5,0))</f>
        <v>0</v>
      </c>
      <c r="O13" s="17" t="s">
        <v>61</v>
      </c>
      <c r="P13" s="24"/>
    </row>
    <row r="14" customFormat="false" ht="23.85" hidden="false" customHeight="false" outlineLevel="1" collapsed="false">
      <c r="A14" s="15" t="s">
        <v>62</v>
      </c>
      <c r="B14" s="16" t="s">
        <v>63</v>
      </c>
      <c r="C14" s="17" t="s">
        <v>64</v>
      </c>
      <c r="D14" s="18" t="s">
        <v>65</v>
      </c>
      <c r="E14" s="19"/>
      <c r="F14" s="17" t="s">
        <v>66</v>
      </c>
      <c r="G14" s="20" t="s">
        <v>30</v>
      </c>
      <c r="H14" s="20" t="s">
        <v>31</v>
      </c>
      <c r="I14" s="15" t="s">
        <v>67</v>
      </c>
      <c r="J14" s="20" t="s">
        <v>68</v>
      </c>
      <c r="K14" s="21" t="n">
        <v>1.5</v>
      </c>
      <c r="L14" s="22"/>
      <c r="M14" s="19" t="s">
        <v>34</v>
      </c>
      <c r="N14" s="23" t="n">
        <f aca="false">IF(M14="Hecha",1,IF(M14="En curso",0.5,0))</f>
        <v>0</v>
      </c>
      <c r="O14" s="17" t="s">
        <v>69</v>
      </c>
      <c r="P14" s="24"/>
    </row>
    <row r="15" customFormat="false" ht="23.85" hidden="false" customHeight="false" outlineLevel="0" collapsed="false">
      <c r="A15" s="10" t="s">
        <v>70</v>
      </c>
      <c r="B15" s="11" t="s">
        <v>71</v>
      </c>
      <c r="C15" s="12" t="s">
        <v>72</v>
      </c>
      <c r="D15" s="11" t="s">
        <v>25</v>
      </c>
      <c r="E15" s="11"/>
      <c r="F15" s="11"/>
      <c r="G15" s="11"/>
      <c r="H15" s="11"/>
      <c r="I15" s="11"/>
      <c r="J15" s="11"/>
      <c r="K15" s="13" t="n">
        <f aca="false">SUMIFS(K16:K29,M16:M29,"&lt;&gt;Recortada")</f>
        <v>22</v>
      </c>
      <c r="L15" s="13" t="n">
        <f aca="false">SUM(L16:L29)</f>
        <v>0</v>
      </c>
      <c r="M15" s="10" t="str">
        <f aca="false">IF(COUNTIF(M16:M29,"Recortada")=COUNTA(M16:M29),"Recortada",IF(COUNTIF(M16:M29,"Hecha")+COUNTIF(M16:M29,"Recortada")=COUNTA(M16:M29),"Hecha",IF(COUNTIF(M16:M29,"Bloqueada")&gt;0,"Bloqueada",IF(COUNTIF(M16:M29,"En curso")+COUNTIF(M16:M29,"Hecha")&gt;0,"En curso","Pendiente"))))</f>
        <v>Pendiente</v>
      </c>
      <c r="N15" s="14" t="n">
        <f aca="false">IFERROR(SUMPRODUCT((M16:M29&lt;&gt;"Recortada")*K16:K29*N16:N29)/K15,0)</f>
        <v>0</v>
      </c>
      <c r="O15" s="11"/>
      <c r="P15" s="11"/>
    </row>
    <row r="16" customFormat="false" ht="23.85" hidden="false" customHeight="false" outlineLevel="1" collapsed="false">
      <c r="A16" s="15" t="s">
        <v>73</v>
      </c>
      <c r="B16" s="16" t="s">
        <v>74</v>
      </c>
      <c r="C16" s="17" t="s">
        <v>75</v>
      </c>
      <c r="D16" s="18" t="s">
        <v>25</v>
      </c>
      <c r="E16" s="19"/>
      <c r="F16" s="17" t="s">
        <v>76</v>
      </c>
      <c r="G16" s="20" t="s">
        <v>30</v>
      </c>
      <c r="H16" s="20" t="s">
        <v>31</v>
      </c>
      <c r="I16" s="15" t="s">
        <v>32</v>
      </c>
      <c r="J16" s="20" t="s">
        <v>33</v>
      </c>
      <c r="K16" s="21" t="n">
        <v>1.5</v>
      </c>
      <c r="L16" s="22"/>
      <c r="M16" s="19" t="s">
        <v>34</v>
      </c>
      <c r="N16" s="23" t="n">
        <f aca="false">IF(M16="Hecha",1,IF(M16="En curso",0.5,0))</f>
        <v>0</v>
      </c>
      <c r="O16" s="17" t="s">
        <v>77</v>
      </c>
      <c r="P16" s="24"/>
    </row>
    <row r="17" customFormat="false" ht="23.85" hidden="false" customHeight="false" outlineLevel="1" collapsed="false">
      <c r="A17" s="15" t="s">
        <v>78</v>
      </c>
      <c r="B17" s="16" t="s">
        <v>79</v>
      </c>
      <c r="C17" s="17" t="s">
        <v>80</v>
      </c>
      <c r="D17" s="18" t="s">
        <v>25</v>
      </c>
      <c r="E17" s="19"/>
      <c r="F17" s="17" t="s">
        <v>81</v>
      </c>
      <c r="G17" s="20" t="s">
        <v>30</v>
      </c>
      <c r="H17" s="20" t="s">
        <v>31</v>
      </c>
      <c r="I17" s="15" t="s">
        <v>73</v>
      </c>
      <c r="J17" s="20" t="s">
        <v>33</v>
      </c>
      <c r="K17" s="21" t="n">
        <v>1.5</v>
      </c>
      <c r="L17" s="22"/>
      <c r="M17" s="19" t="s">
        <v>34</v>
      </c>
      <c r="N17" s="23" t="n">
        <f aca="false">IF(M17="Hecha",1,IF(M17="En curso",0.5,0))</f>
        <v>0</v>
      </c>
      <c r="O17" s="17" t="s">
        <v>82</v>
      </c>
      <c r="P17" s="24"/>
    </row>
    <row r="18" customFormat="false" ht="15" hidden="false" customHeight="false" outlineLevel="1" collapsed="false">
      <c r="A18" s="15" t="s">
        <v>83</v>
      </c>
      <c r="B18" s="16" t="s">
        <v>84</v>
      </c>
      <c r="C18" s="17" t="s">
        <v>85</v>
      </c>
      <c r="D18" s="18" t="s">
        <v>25</v>
      </c>
      <c r="E18" s="19"/>
      <c r="F18" s="17" t="s">
        <v>86</v>
      </c>
      <c r="G18" s="20" t="s">
        <v>30</v>
      </c>
      <c r="H18" s="20" t="s">
        <v>31</v>
      </c>
      <c r="I18" s="15" t="s">
        <v>73</v>
      </c>
      <c r="J18" s="20" t="s">
        <v>33</v>
      </c>
      <c r="K18" s="21" t="n">
        <v>1</v>
      </c>
      <c r="L18" s="22"/>
      <c r="M18" s="19" t="s">
        <v>34</v>
      </c>
      <c r="N18" s="23" t="n">
        <f aca="false">IF(M18="Hecha",1,IF(M18="En curso",0.5,0))</f>
        <v>0</v>
      </c>
      <c r="O18" s="17" t="s">
        <v>87</v>
      </c>
      <c r="P18" s="24"/>
    </row>
    <row r="19" customFormat="false" ht="15" hidden="false" customHeight="false" outlineLevel="1" collapsed="false">
      <c r="A19" s="15" t="s">
        <v>88</v>
      </c>
      <c r="B19" s="16" t="s">
        <v>89</v>
      </c>
      <c r="C19" s="17" t="s">
        <v>90</v>
      </c>
      <c r="D19" s="18" t="s">
        <v>25</v>
      </c>
      <c r="E19" s="19"/>
      <c r="F19" s="17" t="s">
        <v>91</v>
      </c>
      <c r="G19" s="20" t="s">
        <v>92</v>
      </c>
      <c r="H19" s="20" t="s">
        <v>93</v>
      </c>
      <c r="I19" s="15" t="s">
        <v>73</v>
      </c>
      <c r="J19" s="20" t="s">
        <v>68</v>
      </c>
      <c r="K19" s="21" t="n">
        <v>1</v>
      </c>
      <c r="L19" s="22"/>
      <c r="M19" s="19" t="s">
        <v>34</v>
      </c>
      <c r="N19" s="23" t="n">
        <f aca="false">IF(M19="Hecha",1,IF(M19="En curso",0.5,0))</f>
        <v>0</v>
      </c>
      <c r="O19" s="17" t="s">
        <v>94</v>
      </c>
      <c r="P19" s="24"/>
    </row>
    <row r="20" customFormat="false" ht="23.85" hidden="false" customHeight="false" outlineLevel="1" collapsed="false">
      <c r="A20" s="15" t="s">
        <v>95</v>
      </c>
      <c r="B20" s="16" t="s">
        <v>96</v>
      </c>
      <c r="C20" s="17" t="s">
        <v>97</v>
      </c>
      <c r="D20" s="18" t="s">
        <v>25</v>
      </c>
      <c r="E20" s="19"/>
      <c r="F20" s="17" t="s">
        <v>98</v>
      </c>
      <c r="G20" s="20" t="s">
        <v>30</v>
      </c>
      <c r="H20" s="20" t="s">
        <v>31</v>
      </c>
      <c r="I20" s="15" t="s">
        <v>73</v>
      </c>
      <c r="J20" s="20" t="s">
        <v>33</v>
      </c>
      <c r="K20" s="21" t="n">
        <v>1.5</v>
      </c>
      <c r="L20" s="22"/>
      <c r="M20" s="19" t="s">
        <v>34</v>
      </c>
      <c r="N20" s="23" t="n">
        <f aca="false">IF(M20="Hecha",1,IF(M20="En curso",0.5,0))</f>
        <v>0</v>
      </c>
      <c r="O20" s="17" t="s">
        <v>99</v>
      </c>
      <c r="P20" s="24"/>
    </row>
    <row r="21" customFormat="false" ht="23.85" hidden="false" customHeight="false" outlineLevel="1" collapsed="false">
      <c r="A21" s="15" t="s">
        <v>100</v>
      </c>
      <c r="B21" s="16" t="s">
        <v>101</v>
      </c>
      <c r="C21" s="17" t="s">
        <v>102</v>
      </c>
      <c r="D21" s="18" t="s">
        <v>25</v>
      </c>
      <c r="E21" s="19"/>
      <c r="F21" s="17" t="s">
        <v>103</v>
      </c>
      <c r="G21" s="20" t="s">
        <v>30</v>
      </c>
      <c r="H21" s="20" t="s">
        <v>31</v>
      </c>
      <c r="I21" s="15" t="s">
        <v>104</v>
      </c>
      <c r="J21" s="20" t="s">
        <v>33</v>
      </c>
      <c r="K21" s="21" t="n">
        <v>2</v>
      </c>
      <c r="L21" s="22"/>
      <c r="M21" s="19" t="s">
        <v>34</v>
      </c>
      <c r="N21" s="23" t="n">
        <f aca="false">IF(M21="Hecha",1,IF(M21="En curso",0.5,0))</f>
        <v>0</v>
      </c>
      <c r="O21" s="17" t="s">
        <v>105</v>
      </c>
      <c r="P21" s="24"/>
    </row>
    <row r="22" customFormat="false" ht="23.85" hidden="false" customHeight="false" outlineLevel="1" collapsed="false">
      <c r="A22" s="15" t="s">
        <v>106</v>
      </c>
      <c r="B22" s="16" t="s">
        <v>107</v>
      </c>
      <c r="C22" s="17" t="s">
        <v>108</v>
      </c>
      <c r="D22" s="18" t="s">
        <v>25</v>
      </c>
      <c r="E22" s="19"/>
      <c r="F22" s="17" t="s">
        <v>109</v>
      </c>
      <c r="G22" s="20" t="s">
        <v>30</v>
      </c>
      <c r="H22" s="20" t="s">
        <v>31</v>
      </c>
      <c r="I22" s="15" t="s">
        <v>110</v>
      </c>
      <c r="J22" s="20" t="s">
        <v>33</v>
      </c>
      <c r="K22" s="21" t="n">
        <v>2</v>
      </c>
      <c r="L22" s="22"/>
      <c r="M22" s="19" t="s">
        <v>34</v>
      </c>
      <c r="N22" s="23" t="n">
        <f aca="false">IF(M22="Hecha",1,IF(M22="En curso",0.5,0))</f>
        <v>0</v>
      </c>
      <c r="O22" s="17" t="s">
        <v>111</v>
      </c>
      <c r="P22" s="24"/>
    </row>
    <row r="23" customFormat="false" ht="23.85" hidden="false" customHeight="false" outlineLevel="1" collapsed="false">
      <c r="A23" s="15" t="s">
        <v>112</v>
      </c>
      <c r="B23" s="16" t="s">
        <v>113</v>
      </c>
      <c r="C23" s="17" t="s">
        <v>114</v>
      </c>
      <c r="D23" s="18" t="s">
        <v>25</v>
      </c>
      <c r="E23" s="19"/>
      <c r="F23" s="17" t="s">
        <v>115</v>
      </c>
      <c r="G23" s="20" t="s">
        <v>30</v>
      </c>
      <c r="H23" s="20" t="s">
        <v>31</v>
      </c>
      <c r="I23" s="15" t="s">
        <v>106</v>
      </c>
      <c r="J23" s="20" t="s">
        <v>33</v>
      </c>
      <c r="K23" s="21" t="n">
        <v>2.5</v>
      </c>
      <c r="L23" s="22"/>
      <c r="M23" s="19" t="s">
        <v>34</v>
      </c>
      <c r="N23" s="23" t="n">
        <f aca="false">IF(M23="Hecha",1,IF(M23="En curso",0.5,0))</f>
        <v>0</v>
      </c>
      <c r="O23" s="17" t="s">
        <v>116</v>
      </c>
      <c r="P23" s="24"/>
    </row>
    <row r="24" customFormat="false" ht="15" hidden="false" customHeight="false" outlineLevel="1" collapsed="false">
      <c r="A24" s="15" t="s">
        <v>117</v>
      </c>
      <c r="B24" s="16" t="s">
        <v>118</v>
      </c>
      <c r="C24" s="17" t="s">
        <v>119</v>
      </c>
      <c r="D24" s="18" t="s">
        <v>25</v>
      </c>
      <c r="E24" s="19"/>
      <c r="F24" s="17" t="s">
        <v>120</v>
      </c>
      <c r="G24" s="20" t="s">
        <v>30</v>
      </c>
      <c r="H24" s="20" t="s">
        <v>121</v>
      </c>
      <c r="I24" s="15" t="s">
        <v>106</v>
      </c>
      <c r="J24" s="20" t="s">
        <v>68</v>
      </c>
      <c r="K24" s="21" t="n">
        <v>2</v>
      </c>
      <c r="L24" s="22"/>
      <c r="M24" s="19" t="s">
        <v>34</v>
      </c>
      <c r="N24" s="23" t="n">
        <f aca="false">IF(M24="Hecha",1,IF(M24="En curso",0.5,0))</f>
        <v>0</v>
      </c>
      <c r="O24" s="17" t="s">
        <v>122</v>
      </c>
      <c r="P24" s="24"/>
    </row>
    <row r="25" customFormat="false" ht="23.85" hidden="false" customHeight="false" outlineLevel="1" collapsed="false">
      <c r="A25" s="15" t="s">
        <v>123</v>
      </c>
      <c r="B25" s="16" t="s">
        <v>124</v>
      </c>
      <c r="C25" s="17" t="s">
        <v>125</v>
      </c>
      <c r="D25" s="18" t="s">
        <v>25</v>
      </c>
      <c r="E25" s="19"/>
      <c r="F25" s="17" t="s">
        <v>126</v>
      </c>
      <c r="G25" s="20" t="s">
        <v>30</v>
      </c>
      <c r="H25" s="20" t="s">
        <v>121</v>
      </c>
      <c r="I25" s="15" t="s">
        <v>106</v>
      </c>
      <c r="J25" s="20" t="s">
        <v>68</v>
      </c>
      <c r="K25" s="21" t="n">
        <v>1.5</v>
      </c>
      <c r="L25" s="22"/>
      <c r="M25" s="19" t="s">
        <v>34</v>
      </c>
      <c r="N25" s="23" t="n">
        <f aca="false">IF(M25="Hecha",1,IF(M25="En curso",0.5,0))</f>
        <v>0</v>
      </c>
      <c r="O25" s="17" t="s">
        <v>127</v>
      </c>
      <c r="P25" s="24"/>
    </row>
    <row r="26" customFormat="false" ht="15" hidden="false" customHeight="false" outlineLevel="1" collapsed="false">
      <c r="A26" s="15" t="s">
        <v>128</v>
      </c>
      <c r="B26" s="16" t="s">
        <v>129</v>
      </c>
      <c r="C26" s="17" t="s">
        <v>130</v>
      </c>
      <c r="D26" s="18" t="s">
        <v>25</v>
      </c>
      <c r="E26" s="19"/>
      <c r="F26" s="17" t="s">
        <v>131</v>
      </c>
      <c r="G26" s="20" t="s">
        <v>30</v>
      </c>
      <c r="H26" s="20" t="s">
        <v>121</v>
      </c>
      <c r="I26" s="15" t="s">
        <v>106</v>
      </c>
      <c r="J26" s="20" t="s">
        <v>68</v>
      </c>
      <c r="K26" s="21" t="n">
        <v>1.5</v>
      </c>
      <c r="L26" s="22"/>
      <c r="M26" s="19" t="s">
        <v>34</v>
      </c>
      <c r="N26" s="23" t="n">
        <f aca="false">IF(M26="Hecha",1,IF(M26="En curso",0.5,0))</f>
        <v>0</v>
      </c>
      <c r="O26" s="17" t="s">
        <v>132</v>
      </c>
      <c r="P26" s="24"/>
    </row>
    <row r="27" customFormat="false" ht="15" hidden="false" customHeight="false" outlineLevel="1" collapsed="false">
      <c r="A27" s="15" t="s">
        <v>133</v>
      </c>
      <c r="B27" s="16" t="s">
        <v>134</v>
      </c>
      <c r="C27" s="17" t="s">
        <v>135</v>
      </c>
      <c r="D27" s="18" t="s">
        <v>25</v>
      </c>
      <c r="E27" s="19"/>
      <c r="F27" s="17" t="s">
        <v>136</v>
      </c>
      <c r="G27" s="20" t="s">
        <v>30</v>
      </c>
      <c r="H27" s="20" t="s">
        <v>121</v>
      </c>
      <c r="I27" s="15" t="s">
        <v>106</v>
      </c>
      <c r="J27" s="20" t="s">
        <v>68</v>
      </c>
      <c r="K27" s="21" t="n">
        <v>1</v>
      </c>
      <c r="L27" s="22"/>
      <c r="M27" s="19" t="s">
        <v>34</v>
      </c>
      <c r="N27" s="23" t="n">
        <f aca="false">IF(M27="Hecha",1,IF(M27="En curso",0.5,0))</f>
        <v>0</v>
      </c>
      <c r="O27" s="17" t="s">
        <v>137</v>
      </c>
      <c r="P27" s="24"/>
    </row>
    <row r="28" customFormat="false" ht="35.05" hidden="false" customHeight="false" outlineLevel="1" collapsed="false">
      <c r="A28" s="15" t="s">
        <v>138</v>
      </c>
      <c r="B28" s="16" t="s">
        <v>139</v>
      </c>
      <c r="C28" s="17" t="s">
        <v>140</v>
      </c>
      <c r="D28" s="18" t="s">
        <v>65</v>
      </c>
      <c r="E28" s="19"/>
      <c r="F28" s="17" t="s">
        <v>141</v>
      </c>
      <c r="G28" s="20" t="s">
        <v>30</v>
      </c>
      <c r="H28" s="20" t="s">
        <v>121</v>
      </c>
      <c r="I28" s="15" t="s">
        <v>142</v>
      </c>
      <c r="J28" s="20" t="s">
        <v>68</v>
      </c>
      <c r="K28" s="21" t="n">
        <v>2.5</v>
      </c>
      <c r="L28" s="22"/>
      <c r="M28" s="19" t="s">
        <v>34</v>
      </c>
      <c r="N28" s="23" t="n">
        <f aca="false">IF(M28="Hecha",1,IF(M28="En curso",0.5,0))</f>
        <v>0</v>
      </c>
      <c r="O28" s="17" t="s">
        <v>143</v>
      </c>
      <c r="P28" s="24"/>
    </row>
    <row r="29" customFormat="false" ht="15" hidden="false" customHeight="false" outlineLevel="1" collapsed="false">
      <c r="A29" s="15" t="s">
        <v>144</v>
      </c>
      <c r="B29" s="16" t="s">
        <v>145</v>
      </c>
      <c r="C29" s="17" t="s">
        <v>146</v>
      </c>
      <c r="D29" s="18" t="s">
        <v>25</v>
      </c>
      <c r="E29" s="19"/>
      <c r="F29" s="17" t="s">
        <v>147</v>
      </c>
      <c r="G29" s="20" t="s">
        <v>30</v>
      </c>
      <c r="H29" s="20" t="s">
        <v>31</v>
      </c>
      <c r="I29" s="15" t="s">
        <v>112</v>
      </c>
      <c r="J29" s="20" t="s">
        <v>68</v>
      </c>
      <c r="K29" s="21" t="n">
        <v>0.5</v>
      </c>
      <c r="L29" s="22"/>
      <c r="M29" s="19" t="s">
        <v>34</v>
      </c>
      <c r="N29" s="23" t="n">
        <f aca="false">IF(M29="Hecha",1,IF(M29="En curso",0.5,0))</f>
        <v>0</v>
      </c>
      <c r="O29" s="17" t="s">
        <v>148</v>
      </c>
      <c r="P29" s="24"/>
    </row>
    <row r="30" customFormat="false" ht="23.85" hidden="false" customHeight="false" outlineLevel="0" collapsed="false">
      <c r="A30" s="10" t="s">
        <v>149</v>
      </c>
      <c r="B30" s="11" t="s">
        <v>150</v>
      </c>
      <c r="C30" s="12" t="s">
        <v>151</v>
      </c>
      <c r="D30" s="11" t="s">
        <v>25</v>
      </c>
      <c r="E30" s="11"/>
      <c r="F30" s="11"/>
      <c r="G30" s="11"/>
      <c r="H30" s="11"/>
      <c r="I30" s="11"/>
      <c r="J30" s="11"/>
      <c r="K30" s="13" t="n">
        <f aca="false">SUMIFS(K31:K34,M31:M34,"&lt;&gt;Recortada")</f>
        <v>7.5</v>
      </c>
      <c r="L30" s="13" t="n">
        <f aca="false">SUM(L31:L34)</f>
        <v>0</v>
      </c>
      <c r="M30" s="10" t="str">
        <f aca="false">IF(COUNTIF(M31:M34,"Recortada")=COUNTA(M31:M34),"Recortada",IF(COUNTIF(M31:M34,"Hecha")+COUNTIF(M31:M34,"Recortada")=COUNTA(M31:M34),"Hecha",IF(COUNTIF(M31:M34,"Bloqueada")&gt;0,"Bloqueada",IF(COUNTIF(M31:M34,"En curso")+COUNTIF(M31:M34,"Hecha")&gt;0,"En curso","Pendiente"))))</f>
        <v>Pendiente</v>
      </c>
      <c r="N30" s="14" t="n">
        <f aca="false">IFERROR(SUMPRODUCT((M31:M34&lt;&gt;"Recortada")*K31:K34*N31:N34)/K30,0)</f>
        <v>0</v>
      </c>
      <c r="O30" s="11"/>
      <c r="P30" s="11"/>
    </row>
    <row r="31" customFormat="false" ht="23.85" hidden="false" customHeight="false" outlineLevel="1" collapsed="false">
      <c r="A31" s="15" t="s">
        <v>152</v>
      </c>
      <c r="B31" s="16" t="s">
        <v>153</v>
      </c>
      <c r="C31" s="17" t="s">
        <v>154</v>
      </c>
      <c r="D31" s="18" t="s">
        <v>25</v>
      </c>
      <c r="E31" s="19"/>
      <c r="F31" s="17" t="s">
        <v>155</v>
      </c>
      <c r="G31" s="20" t="s">
        <v>30</v>
      </c>
      <c r="H31" s="20" t="s">
        <v>31</v>
      </c>
      <c r="I31" s="15" t="s">
        <v>106</v>
      </c>
      <c r="J31" s="20" t="s">
        <v>33</v>
      </c>
      <c r="K31" s="21" t="n">
        <v>2</v>
      </c>
      <c r="L31" s="22"/>
      <c r="M31" s="19" t="s">
        <v>34</v>
      </c>
      <c r="N31" s="23" t="n">
        <f aca="false">IF(M31="Hecha",1,IF(M31="En curso",0.5,0))</f>
        <v>0</v>
      </c>
      <c r="O31" s="17" t="s">
        <v>156</v>
      </c>
      <c r="P31" s="24"/>
    </row>
    <row r="32" customFormat="false" ht="23.85" hidden="false" customHeight="false" outlineLevel="1" collapsed="false">
      <c r="A32" s="15" t="s">
        <v>157</v>
      </c>
      <c r="B32" s="16" t="s">
        <v>158</v>
      </c>
      <c r="C32" s="17" t="s">
        <v>159</v>
      </c>
      <c r="D32" s="18" t="s">
        <v>25</v>
      </c>
      <c r="E32" s="19"/>
      <c r="F32" s="17" t="s">
        <v>98</v>
      </c>
      <c r="G32" s="20" t="s">
        <v>30</v>
      </c>
      <c r="H32" s="20" t="s">
        <v>31</v>
      </c>
      <c r="I32" s="15" t="s">
        <v>152</v>
      </c>
      <c r="J32" s="20" t="s">
        <v>33</v>
      </c>
      <c r="K32" s="21" t="n">
        <v>2</v>
      </c>
      <c r="L32" s="22"/>
      <c r="M32" s="19" t="s">
        <v>34</v>
      </c>
      <c r="N32" s="23" t="n">
        <f aca="false">IF(M32="Hecha",1,IF(M32="En curso",0.5,0))</f>
        <v>0</v>
      </c>
      <c r="O32" s="17" t="s">
        <v>160</v>
      </c>
      <c r="P32" s="24"/>
    </row>
    <row r="33" customFormat="false" ht="23.85" hidden="false" customHeight="false" outlineLevel="1" collapsed="false">
      <c r="A33" s="15" t="s">
        <v>161</v>
      </c>
      <c r="B33" s="16" t="s">
        <v>162</v>
      </c>
      <c r="C33" s="17" t="s">
        <v>163</v>
      </c>
      <c r="D33" s="18" t="s">
        <v>25</v>
      </c>
      <c r="E33" s="19"/>
      <c r="F33" s="17" t="s">
        <v>164</v>
      </c>
      <c r="G33" s="20" t="s">
        <v>30</v>
      </c>
      <c r="H33" s="20" t="s">
        <v>31</v>
      </c>
      <c r="I33" s="15" t="s">
        <v>165</v>
      </c>
      <c r="J33" s="20" t="s">
        <v>68</v>
      </c>
      <c r="K33" s="21" t="n">
        <v>1.5</v>
      </c>
      <c r="L33" s="22"/>
      <c r="M33" s="19" t="s">
        <v>34</v>
      </c>
      <c r="N33" s="23" t="n">
        <f aca="false">IF(M33="Hecha",1,IF(M33="En curso",0.5,0))</f>
        <v>0</v>
      </c>
      <c r="O33" s="17" t="s">
        <v>166</v>
      </c>
      <c r="P33" s="24"/>
    </row>
    <row r="34" customFormat="false" ht="23.85" hidden="false" customHeight="false" outlineLevel="1" collapsed="false">
      <c r="A34" s="15" t="s">
        <v>167</v>
      </c>
      <c r="B34" s="16" t="s">
        <v>168</v>
      </c>
      <c r="C34" s="17" t="s">
        <v>169</v>
      </c>
      <c r="D34" s="18" t="s">
        <v>25</v>
      </c>
      <c r="E34" s="19"/>
      <c r="F34" s="17" t="s">
        <v>170</v>
      </c>
      <c r="G34" s="20" t="s">
        <v>30</v>
      </c>
      <c r="H34" s="20" t="s">
        <v>31</v>
      </c>
      <c r="I34" s="15" t="s">
        <v>152</v>
      </c>
      <c r="J34" s="20" t="s">
        <v>33</v>
      </c>
      <c r="K34" s="21" t="n">
        <v>2</v>
      </c>
      <c r="L34" s="22"/>
      <c r="M34" s="19" t="s">
        <v>34</v>
      </c>
      <c r="N34" s="23" t="n">
        <f aca="false">IF(M34="Hecha",1,IF(M34="En curso",0.5,0))</f>
        <v>0</v>
      </c>
      <c r="O34" s="17" t="s">
        <v>171</v>
      </c>
      <c r="P34" s="24"/>
    </row>
    <row r="35" customFormat="false" ht="15" hidden="false" customHeight="false" outlineLevel="0" collapsed="false">
      <c r="A35" s="10" t="s">
        <v>172</v>
      </c>
      <c r="B35" s="11" t="s">
        <v>173</v>
      </c>
      <c r="C35" s="12" t="s">
        <v>174</v>
      </c>
      <c r="D35" s="11" t="s">
        <v>25</v>
      </c>
      <c r="E35" s="11"/>
      <c r="F35" s="11"/>
      <c r="G35" s="11"/>
      <c r="H35" s="11"/>
      <c r="I35" s="11"/>
      <c r="J35" s="11"/>
      <c r="K35" s="13" t="n">
        <f aca="false">SUMIFS(K36:K40,M36:M40,"&lt;&gt;Recortada")</f>
        <v>8</v>
      </c>
      <c r="L35" s="13" t="n">
        <f aca="false">SUM(L36:L40)</f>
        <v>0</v>
      </c>
      <c r="M35" s="10" t="str">
        <f aca="false">IF(COUNTIF(M36:M40,"Recortada")=COUNTA(M36:M40),"Recortada",IF(COUNTIF(M36:M40,"Hecha")+COUNTIF(M36:M40,"Recortada")=COUNTA(M36:M40),"Hecha",IF(COUNTIF(M36:M40,"Bloqueada")&gt;0,"Bloqueada",IF(COUNTIF(M36:M40,"En curso")+COUNTIF(M36:M40,"Hecha")&gt;0,"En curso","Pendiente"))))</f>
        <v>Pendiente</v>
      </c>
      <c r="N35" s="14" t="n">
        <f aca="false">IFERROR(SUMPRODUCT((M36:M40&lt;&gt;"Recortada")*K36:K40*N36:N40)/K35,0)</f>
        <v>0</v>
      </c>
      <c r="O35" s="11"/>
      <c r="P35" s="11"/>
    </row>
    <row r="36" customFormat="false" ht="15" hidden="false" customHeight="false" outlineLevel="1" collapsed="false">
      <c r="A36" s="15" t="s">
        <v>175</v>
      </c>
      <c r="B36" s="16" t="s">
        <v>176</v>
      </c>
      <c r="C36" s="17" t="s">
        <v>177</v>
      </c>
      <c r="D36" s="18" t="s">
        <v>25</v>
      </c>
      <c r="E36" s="19"/>
      <c r="F36" s="17" t="s">
        <v>178</v>
      </c>
      <c r="G36" s="20" t="s">
        <v>30</v>
      </c>
      <c r="H36" s="20" t="s">
        <v>31</v>
      </c>
      <c r="I36" s="15" t="s">
        <v>100</v>
      </c>
      <c r="J36" s="20" t="s">
        <v>33</v>
      </c>
      <c r="K36" s="21" t="n">
        <v>1</v>
      </c>
      <c r="L36" s="22"/>
      <c r="M36" s="19" t="s">
        <v>34</v>
      </c>
      <c r="N36" s="23" t="n">
        <f aca="false">IF(M36="Hecha",1,IF(M36="En curso",0.5,0))</f>
        <v>0</v>
      </c>
      <c r="O36" s="17" t="s">
        <v>179</v>
      </c>
      <c r="P36" s="24"/>
    </row>
    <row r="37" customFormat="false" ht="23.85" hidden="false" customHeight="false" outlineLevel="1" collapsed="false">
      <c r="A37" s="15" t="s">
        <v>180</v>
      </c>
      <c r="B37" s="16" t="s">
        <v>181</v>
      </c>
      <c r="C37" s="17" t="s">
        <v>182</v>
      </c>
      <c r="D37" s="18" t="s">
        <v>25</v>
      </c>
      <c r="E37" s="19"/>
      <c r="F37" s="17" t="s">
        <v>183</v>
      </c>
      <c r="G37" s="20" t="s">
        <v>30</v>
      </c>
      <c r="H37" s="20" t="s">
        <v>31</v>
      </c>
      <c r="I37" s="15" t="s">
        <v>100</v>
      </c>
      <c r="J37" s="20" t="s">
        <v>33</v>
      </c>
      <c r="K37" s="21" t="n">
        <v>2</v>
      </c>
      <c r="L37" s="22"/>
      <c r="M37" s="19" t="s">
        <v>34</v>
      </c>
      <c r="N37" s="23" t="n">
        <f aca="false">IF(M37="Hecha",1,IF(M37="En curso",0.5,0))</f>
        <v>0</v>
      </c>
      <c r="O37" s="17" t="s">
        <v>184</v>
      </c>
      <c r="P37" s="24"/>
    </row>
    <row r="38" customFormat="false" ht="15" hidden="false" customHeight="false" outlineLevel="1" collapsed="false">
      <c r="A38" s="15" t="s">
        <v>185</v>
      </c>
      <c r="B38" s="16" t="s">
        <v>186</v>
      </c>
      <c r="C38" s="17" t="s">
        <v>187</v>
      </c>
      <c r="D38" s="18" t="s">
        <v>25</v>
      </c>
      <c r="E38" s="19"/>
      <c r="F38" s="17" t="s">
        <v>188</v>
      </c>
      <c r="G38" s="20" t="s">
        <v>30</v>
      </c>
      <c r="H38" s="20" t="s">
        <v>121</v>
      </c>
      <c r="I38" s="15" t="s">
        <v>189</v>
      </c>
      <c r="J38" s="20" t="s">
        <v>33</v>
      </c>
      <c r="K38" s="21" t="n">
        <v>1.5</v>
      </c>
      <c r="L38" s="22"/>
      <c r="M38" s="19" t="s">
        <v>34</v>
      </c>
      <c r="N38" s="23" t="n">
        <f aca="false">IF(M38="Hecha",1,IF(M38="En curso",0.5,0))</f>
        <v>0</v>
      </c>
      <c r="O38" s="17" t="s">
        <v>190</v>
      </c>
      <c r="P38" s="24"/>
    </row>
    <row r="39" customFormat="false" ht="15" hidden="false" customHeight="false" outlineLevel="1" collapsed="false">
      <c r="A39" s="15" t="s">
        <v>191</v>
      </c>
      <c r="B39" s="16" t="s">
        <v>192</v>
      </c>
      <c r="C39" s="17" t="s">
        <v>193</v>
      </c>
      <c r="D39" s="18" t="s">
        <v>25</v>
      </c>
      <c r="E39" s="19"/>
      <c r="F39" s="17" t="s">
        <v>194</v>
      </c>
      <c r="G39" s="20" t="s">
        <v>30</v>
      </c>
      <c r="H39" s="20" t="s">
        <v>121</v>
      </c>
      <c r="I39" s="15" t="s">
        <v>195</v>
      </c>
      <c r="J39" s="20" t="s">
        <v>33</v>
      </c>
      <c r="K39" s="21" t="n">
        <v>2</v>
      </c>
      <c r="L39" s="22"/>
      <c r="M39" s="19" t="s">
        <v>34</v>
      </c>
      <c r="N39" s="23" t="n">
        <f aca="false">IF(M39="Hecha",1,IF(M39="En curso",0.5,0))</f>
        <v>0</v>
      </c>
      <c r="O39" s="17" t="s">
        <v>196</v>
      </c>
      <c r="P39" s="24"/>
    </row>
    <row r="40" customFormat="false" ht="15" hidden="false" customHeight="false" outlineLevel="1" collapsed="false">
      <c r="A40" s="15" t="s">
        <v>197</v>
      </c>
      <c r="B40" s="16" t="s">
        <v>198</v>
      </c>
      <c r="C40" s="17" t="s">
        <v>199</v>
      </c>
      <c r="D40" s="18" t="s">
        <v>25</v>
      </c>
      <c r="E40" s="19"/>
      <c r="F40" s="17" t="s">
        <v>200</v>
      </c>
      <c r="G40" s="20" t="s">
        <v>30</v>
      </c>
      <c r="H40" s="20" t="s">
        <v>31</v>
      </c>
      <c r="I40" s="15" t="s">
        <v>201</v>
      </c>
      <c r="J40" s="20" t="s">
        <v>33</v>
      </c>
      <c r="K40" s="21" t="n">
        <v>1.5</v>
      </c>
      <c r="L40" s="22"/>
      <c r="M40" s="19" t="s">
        <v>34</v>
      </c>
      <c r="N40" s="23" t="n">
        <f aca="false">IF(M40="Hecha",1,IF(M40="En curso",0.5,0))</f>
        <v>0</v>
      </c>
      <c r="O40" s="17" t="s">
        <v>202</v>
      </c>
      <c r="P40" s="24"/>
    </row>
    <row r="41" customFormat="false" ht="23.85" hidden="false" customHeight="false" outlineLevel="0" collapsed="false">
      <c r="A41" s="10" t="s">
        <v>203</v>
      </c>
      <c r="B41" s="11" t="s">
        <v>204</v>
      </c>
      <c r="C41" s="12" t="s">
        <v>205</v>
      </c>
      <c r="D41" s="11" t="s">
        <v>206</v>
      </c>
      <c r="E41" s="11"/>
      <c r="F41" s="11"/>
      <c r="G41" s="11"/>
      <c r="H41" s="11"/>
      <c r="I41" s="11"/>
      <c r="J41" s="11"/>
      <c r="K41" s="13" t="n">
        <f aca="false">SUMIFS(K42:K50,M42:M50,"&lt;&gt;Recortada")</f>
        <v>18.5</v>
      </c>
      <c r="L41" s="13" t="n">
        <f aca="false">SUM(L42:L50)</f>
        <v>0</v>
      </c>
      <c r="M41" s="10" t="str">
        <f aca="false">IF(COUNTIF(M42:M50,"Recortada")=COUNTA(M42:M50),"Recortada",IF(COUNTIF(M42:M50,"Hecha")+COUNTIF(M42:M50,"Recortada")=COUNTA(M42:M50),"Hecha",IF(COUNTIF(M42:M50,"Bloqueada")&gt;0,"Bloqueada",IF(COUNTIF(M42:M50,"En curso")+COUNTIF(M42:M50,"Hecha")&gt;0,"En curso","Pendiente"))))</f>
        <v>Pendiente</v>
      </c>
      <c r="N41" s="14" t="n">
        <f aca="false">IFERROR(SUMPRODUCT((M42:M50&lt;&gt;"Recortada")*K42:K50*N42:N50)/K41,0)</f>
        <v>0</v>
      </c>
      <c r="O41" s="11"/>
      <c r="P41" s="11"/>
    </row>
    <row r="42" customFormat="false" ht="23.85" hidden="false" customHeight="false" outlineLevel="1" collapsed="false">
      <c r="A42" s="15" t="s">
        <v>207</v>
      </c>
      <c r="B42" s="16" t="s">
        <v>208</v>
      </c>
      <c r="C42" s="17" t="s">
        <v>209</v>
      </c>
      <c r="D42" s="18" t="s">
        <v>206</v>
      </c>
      <c r="E42" s="19"/>
      <c r="F42" s="17" t="s">
        <v>210</v>
      </c>
      <c r="G42" s="20" t="s">
        <v>30</v>
      </c>
      <c r="H42" s="20" t="s">
        <v>121</v>
      </c>
      <c r="I42" s="15" t="s">
        <v>67</v>
      </c>
      <c r="J42" s="20" t="s">
        <v>33</v>
      </c>
      <c r="K42" s="21" t="n">
        <v>2</v>
      </c>
      <c r="L42" s="22"/>
      <c r="M42" s="19" t="s">
        <v>34</v>
      </c>
      <c r="N42" s="23" t="n">
        <f aca="false">IF(M42="Hecha",1,IF(M42="En curso",0.5,0))</f>
        <v>0</v>
      </c>
      <c r="O42" s="17" t="s">
        <v>211</v>
      </c>
      <c r="P42" s="24"/>
    </row>
    <row r="43" customFormat="false" ht="23.85" hidden="false" customHeight="false" outlineLevel="1" collapsed="false">
      <c r="A43" s="15" t="s">
        <v>212</v>
      </c>
      <c r="B43" s="16" t="s">
        <v>213</v>
      </c>
      <c r="C43" s="17" t="s">
        <v>214</v>
      </c>
      <c r="D43" s="18" t="s">
        <v>206</v>
      </c>
      <c r="E43" s="19"/>
      <c r="F43" s="17" t="s">
        <v>215</v>
      </c>
      <c r="G43" s="20" t="s">
        <v>30</v>
      </c>
      <c r="H43" s="20" t="s">
        <v>121</v>
      </c>
      <c r="I43" s="15" t="s">
        <v>216</v>
      </c>
      <c r="J43" s="20" t="s">
        <v>33</v>
      </c>
      <c r="K43" s="21" t="n">
        <v>2</v>
      </c>
      <c r="L43" s="22"/>
      <c r="M43" s="19" t="s">
        <v>34</v>
      </c>
      <c r="N43" s="23" t="n">
        <f aca="false">IF(M43="Hecha",1,IF(M43="En curso",0.5,0))</f>
        <v>0</v>
      </c>
      <c r="O43" s="17" t="s">
        <v>217</v>
      </c>
      <c r="P43" s="24"/>
    </row>
    <row r="44" customFormat="false" ht="23.85" hidden="false" customHeight="false" outlineLevel="1" collapsed="false">
      <c r="A44" s="15" t="s">
        <v>218</v>
      </c>
      <c r="B44" s="16" t="s">
        <v>219</v>
      </c>
      <c r="C44" s="17" t="s">
        <v>220</v>
      </c>
      <c r="D44" s="18" t="s">
        <v>65</v>
      </c>
      <c r="E44" s="19"/>
      <c r="F44" s="17" t="s">
        <v>221</v>
      </c>
      <c r="G44" s="20" t="s">
        <v>30</v>
      </c>
      <c r="H44" s="20" t="s">
        <v>121</v>
      </c>
      <c r="I44" s="15" t="s">
        <v>222</v>
      </c>
      <c r="J44" s="20" t="s">
        <v>33</v>
      </c>
      <c r="K44" s="21" t="n">
        <v>2</v>
      </c>
      <c r="L44" s="22"/>
      <c r="M44" s="19" t="s">
        <v>34</v>
      </c>
      <c r="N44" s="23" t="n">
        <f aca="false">IF(M44="Hecha",1,IF(M44="En curso",0.5,0))</f>
        <v>0</v>
      </c>
      <c r="O44" s="17" t="s">
        <v>223</v>
      </c>
      <c r="P44" s="24"/>
    </row>
    <row r="45" customFormat="false" ht="23.85" hidden="false" customHeight="false" outlineLevel="1" collapsed="false">
      <c r="A45" s="15" t="s">
        <v>224</v>
      </c>
      <c r="B45" s="16" t="s">
        <v>225</v>
      </c>
      <c r="C45" s="17" t="s">
        <v>226</v>
      </c>
      <c r="D45" s="18" t="s">
        <v>25</v>
      </c>
      <c r="E45" s="19"/>
      <c r="F45" s="17" t="s">
        <v>227</v>
      </c>
      <c r="G45" s="20" t="s">
        <v>30</v>
      </c>
      <c r="H45" s="20" t="s">
        <v>121</v>
      </c>
      <c r="I45" s="15" t="s">
        <v>228</v>
      </c>
      <c r="J45" s="20" t="s">
        <v>33</v>
      </c>
      <c r="K45" s="21" t="n">
        <v>2.5</v>
      </c>
      <c r="L45" s="22"/>
      <c r="M45" s="19" t="s">
        <v>34</v>
      </c>
      <c r="N45" s="23" t="n">
        <f aca="false">IF(M45="Hecha",1,IF(M45="En curso",0.5,0))</f>
        <v>0</v>
      </c>
      <c r="O45" s="17" t="s">
        <v>229</v>
      </c>
      <c r="P45" s="24"/>
    </row>
    <row r="46" customFormat="false" ht="23.85" hidden="false" customHeight="false" outlineLevel="1" collapsed="false">
      <c r="A46" s="15" t="s">
        <v>230</v>
      </c>
      <c r="B46" s="16" t="s">
        <v>231</v>
      </c>
      <c r="C46" s="17" t="s">
        <v>232</v>
      </c>
      <c r="D46" s="18" t="s">
        <v>25</v>
      </c>
      <c r="E46" s="19"/>
      <c r="F46" s="17" t="s">
        <v>233</v>
      </c>
      <c r="G46" s="20" t="s">
        <v>30</v>
      </c>
      <c r="H46" s="20" t="s">
        <v>121</v>
      </c>
      <c r="I46" s="15" t="s">
        <v>224</v>
      </c>
      <c r="J46" s="20" t="s">
        <v>68</v>
      </c>
      <c r="K46" s="21" t="n">
        <v>2</v>
      </c>
      <c r="L46" s="22"/>
      <c r="M46" s="19" t="s">
        <v>34</v>
      </c>
      <c r="N46" s="23" t="n">
        <f aca="false">IF(M46="Hecha",1,IF(M46="En curso",0.5,0))</f>
        <v>0</v>
      </c>
      <c r="O46" s="17" t="s">
        <v>234</v>
      </c>
      <c r="P46" s="24"/>
    </row>
    <row r="47" customFormat="false" ht="23.85" hidden="false" customHeight="false" outlineLevel="1" collapsed="false">
      <c r="A47" s="15" t="s">
        <v>235</v>
      </c>
      <c r="B47" s="16" t="s">
        <v>236</v>
      </c>
      <c r="C47" s="17" t="s">
        <v>237</v>
      </c>
      <c r="D47" s="18" t="s">
        <v>65</v>
      </c>
      <c r="E47" s="19"/>
      <c r="F47" s="17" t="s">
        <v>238</v>
      </c>
      <c r="G47" s="20" t="s">
        <v>30</v>
      </c>
      <c r="H47" s="20" t="s">
        <v>121</v>
      </c>
      <c r="I47" s="15" t="s">
        <v>218</v>
      </c>
      <c r="J47" s="20" t="s">
        <v>68</v>
      </c>
      <c r="K47" s="21" t="n">
        <v>2</v>
      </c>
      <c r="L47" s="22"/>
      <c r="M47" s="19" t="s">
        <v>34</v>
      </c>
      <c r="N47" s="23" t="n">
        <f aca="false">IF(M47="Hecha",1,IF(M47="En curso",0.5,0))</f>
        <v>0</v>
      </c>
      <c r="O47" s="17" t="s">
        <v>239</v>
      </c>
      <c r="P47" s="24"/>
    </row>
    <row r="48" customFormat="false" ht="15" hidden="false" customHeight="false" outlineLevel="1" collapsed="false">
      <c r="A48" s="15" t="s">
        <v>240</v>
      </c>
      <c r="B48" s="16" t="s">
        <v>241</v>
      </c>
      <c r="C48" s="17" t="s">
        <v>242</v>
      </c>
      <c r="D48" s="18" t="s">
        <v>206</v>
      </c>
      <c r="E48" s="19"/>
      <c r="F48" s="17" t="s">
        <v>243</v>
      </c>
      <c r="G48" s="20" t="s">
        <v>30</v>
      </c>
      <c r="H48" s="20" t="s">
        <v>121</v>
      </c>
      <c r="I48" s="15" t="s">
        <v>244</v>
      </c>
      <c r="J48" s="20" t="s">
        <v>68</v>
      </c>
      <c r="K48" s="21" t="n">
        <v>1</v>
      </c>
      <c r="L48" s="22"/>
      <c r="M48" s="19" t="s">
        <v>34</v>
      </c>
      <c r="N48" s="23" t="n">
        <f aca="false">IF(M48="Hecha",1,IF(M48="En curso",0.5,0))</f>
        <v>0</v>
      </c>
      <c r="O48" s="17" t="s">
        <v>245</v>
      </c>
      <c r="P48" s="24"/>
    </row>
    <row r="49" customFormat="false" ht="23.85" hidden="false" customHeight="false" outlineLevel="1" collapsed="false">
      <c r="A49" s="15" t="s">
        <v>246</v>
      </c>
      <c r="B49" s="16" t="s">
        <v>247</v>
      </c>
      <c r="C49" s="17" t="s">
        <v>248</v>
      </c>
      <c r="D49" s="18" t="s">
        <v>65</v>
      </c>
      <c r="E49" s="19"/>
      <c r="F49" s="17" t="s">
        <v>249</v>
      </c>
      <c r="G49" s="20" t="s">
        <v>92</v>
      </c>
      <c r="H49" s="20" t="s">
        <v>93</v>
      </c>
      <c r="I49" s="15" t="s">
        <v>250</v>
      </c>
      <c r="J49" s="20" t="s">
        <v>68</v>
      </c>
      <c r="K49" s="21" t="n">
        <v>3</v>
      </c>
      <c r="L49" s="22"/>
      <c r="M49" s="19" t="s">
        <v>34</v>
      </c>
      <c r="N49" s="23" t="n">
        <f aca="false">IF(M49="Hecha",1,IF(M49="En curso",0.5,0))</f>
        <v>0</v>
      </c>
      <c r="O49" s="17" t="s">
        <v>251</v>
      </c>
      <c r="P49" s="24"/>
    </row>
    <row r="50" customFormat="false" ht="23.85" hidden="false" customHeight="false" outlineLevel="1" collapsed="false">
      <c r="A50" s="15" t="s">
        <v>252</v>
      </c>
      <c r="B50" s="16" t="s">
        <v>253</v>
      </c>
      <c r="C50" s="17" t="s">
        <v>254</v>
      </c>
      <c r="D50" s="18" t="s">
        <v>25</v>
      </c>
      <c r="E50" s="19"/>
      <c r="F50" s="17" t="s">
        <v>255</v>
      </c>
      <c r="G50" s="20" t="s">
        <v>92</v>
      </c>
      <c r="H50" s="20" t="s">
        <v>93</v>
      </c>
      <c r="I50" s="15" t="s">
        <v>256</v>
      </c>
      <c r="J50" s="20" t="s">
        <v>68</v>
      </c>
      <c r="K50" s="21" t="n">
        <v>2</v>
      </c>
      <c r="L50" s="22"/>
      <c r="M50" s="19" t="s">
        <v>34</v>
      </c>
      <c r="N50" s="23" t="n">
        <f aca="false">IF(M50="Hecha",1,IF(M50="En curso",0.5,0))</f>
        <v>0</v>
      </c>
      <c r="O50" s="17" t="s">
        <v>257</v>
      </c>
      <c r="P50" s="24"/>
    </row>
    <row r="51" customFormat="false" ht="15" hidden="false" customHeight="false" outlineLevel="0" collapsed="false">
      <c r="A51" s="10" t="s">
        <v>258</v>
      </c>
      <c r="B51" s="11" t="s">
        <v>259</v>
      </c>
      <c r="C51" s="12" t="s">
        <v>260</v>
      </c>
      <c r="D51" s="11" t="s">
        <v>25</v>
      </c>
      <c r="E51" s="11"/>
      <c r="F51" s="11"/>
      <c r="G51" s="11"/>
      <c r="H51" s="11"/>
      <c r="I51" s="11"/>
      <c r="J51" s="11"/>
      <c r="K51" s="13" t="n">
        <f aca="false">SUMIFS(K52:K54,M52:M54,"&lt;&gt;Recortada")</f>
        <v>6</v>
      </c>
      <c r="L51" s="13" t="n">
        <f aca="false">SUM(L52:L54)</f>
        <v>0</v>
      </c>
      <c r="M51" s="10" t="str">
        <f aca="false">IF(COUNTIF(M52:M54,"Recortada")=COUNTA(M52:M54),"Recortada",IF(COUNTIF(M52:M54,"Hecha")+COUNTIF(M52:M54,"Recortada")=COUNTA(M52:M54),"Hecha",IF(COUNTIF(M52:M54,"Bloqueada")&gt;0,"Bloqueada",IF(COUNTIF(M52:M54,"En curso")+COUNTIF(M52:M54,"Hecha")&gt;0,"En curso","Pendiente"))))</f>
        <v>Pendiente</v>
      </c>
      <c r="N51" s="14" t="n">
        <f aca="false">IFERROR(SUMPRODUCT((M52:M54&lt;&gt;"Recortada")*K52:K54*N52:N54)/K51,0)</f>
        <v>0</v>
      </c>
      <c r="O51" s="11"/>
      <c r="P51" s="11"/>
    </row>
    <row r="52" customFormat="false" ht="15" hidden="false" customHeight="false" outlineLevel="1" collapsed="false">
      <c r="A52" s="15" t="s">
        <v>261</v>
      </c>
      <c r="B52" s="16" t="s">
        <v>262</v>
      </c>
      <c r="C52" s="17" t="s">
        <v>263</v>
      </c>
      <c r="D52" s="18" t="s">
        <v>25</v>
      </c>
      <c r="E52" s="19"/>
      <c r="F52" s="17" t="s">
        <v>264</v>
      </c>
      <c r="G52" s="20" t="s">
        <v>30</v>
      </c>
      <c r="H52" s="20" t="s">
        <v>31</v>
      </c>
      <c r="I52" s="15" t="s">
        <v>100</v>
      </c>
      <c r="J52" s="20" t="s">
        <v>33</v>
      </c>
      <c r="K52" s="21" t="n">
        <v>2</v>
      </c>
      <c r="L52" s="22"/>
      <c r="M52" s="19" t="s">
        <v>34</v>
      </c>
      <c r="N52" s="23" t="n">
        <f aca="false">IF(M52="Hecha",1,IF(M52="En curso",0.5,0))</f>
        <v>0</v>
      </c>
      <c r="O52" s="17" t="s">
        <v>265</v>
      </c>
      <c r="P52" s="24"/>
    </row>
    <row r="53" customFormat="false" ht="23.85" hidden="false" customHeight="false" outlineLevel="1" collapsed="false">
      <c r="A53" s="15" t="s">
        <v>266</v>
      </c>
      <c r="B53" s="16" t="s">
        <v>267</v>
      </c>
      <c r="C53" s="17" t="s">
        <v>268</v>
      </c>
      <c r="D53" s="18" t="s">
        <v>25</v>
      </c>
      <c r="E53" s="19"/>
      <c r="F53" s="17" t="s">
        <v>269</v>
      </c>
      <c r="G53" s="20" t="s">
        <v>30</v>
      </c>
      <c r="H53" s="20" t="s">
        <v>31</v>
      </c>
      <c r="I53" s="15" t="s">
        <v>261</v>
      </c>
      <c r="J53" s="20" t="s">
        <v>33</v>
      </c>
      <c r="K53" s="21" t="n">
        <v>2.5</v>
      </c>
      <c r="L53" s="22"/>
      <c r="M53" s="19" t="s">
        <v>34</v>
      </c>
      <c r="N53" s="23" t="n">
        <f aca="false">IF(M53="Hecha",1,IF(M53="En curso",0.5,0))</f>
        <v>0</v>
      </c>
      <c r="O53" s="17" t="s">
        <v>270</v>
      </c>
      <c r="P53" s="24"/>
    </row>
    <row r="54" customFormat="false" ht="23.85" hidden="false" customHeight="false" outlineLevel="1" collapsed="false">
      <c r="A54" s="15" t="s">
        <v>271</v>
      </c>
      <c r="B54" s="16" t="s">
        <v>272</v>
      </c>
      <c r="C54" s="17" t="s">
        <v>273</v>
      </c>
      <c r="D54" s="18" t="s">
        <v>25</v>
      </c>
      <c r="E54" s="19"/>
      <c r="F54" s="17" t="s">
        <v>274</v>
      </c>
      <c r="G54" s="20" t="s">
        <v>30</v>
      </c>
      <c r="H54" s="20" t="s">
        <v>121</v>
      </c>
      <c r="I54" s="15" t="s">
        <v>275</v>
      </c>
      <c r="J54" s="20" t="s">
        <v>68</v>
      </c>
      <c r="K54" s="21" t="n">
        <v>1.5</v>
      </c>
      <c r="L54" s="22"/>
      <c r="M54" s="19" t="s">
        <v>34</v>
      </c>
      <c r="N54" s="23" t="n">
        <f aca="false">IF(M54="Hecha",1,IF(M54="En curso",0.5,0))</f>
        <v>0</v>
      </c>
      <c r="O54" s="17" t="s">
        <v>276</v>
      </c>
      <c r="P54" s="24"/>
    </row>
    <row r="55" customFormat="false" ht="23.85" hidden="false" customHeight="false" outlineLevel="0" collapsed="false">
      <c r="A55" s="10" t="s">
        <v>277</v>
      </c>
      <c r="B55" s="11" t="s">
        <v>278</v>
      </c>
      <c r="C55" s="12" t="s">
        <v>279</v>
      </c>
      <c r="D55" s="11" t="s">
        <v>206</v>
      </c>
      <c r="E55" s="11"/>
      <c r="F55" s="11"/>
      <c r="G55" s="11"/>
      <c r="H55" s="11"/>
      <c r="I55" s="11"/>
      <c r="J55" s="11"/>
      <c r="K55" s="13" t="n">
        <f aca="false">SUMIFS(K56:K61,M56:M61,"&lt;&gt;Recortada")</f>
        <v>11</v>
      </c>
      <c r="L55" s="13" t="n">
        <f aca="false">SUM(L56:L61)</f>
        <v>0</v>
      </c>
      <c r="M55" s="10" t="str">
        <f aca="false">IF(COUNTIF(M56:M61,"Recortada")=COUNTA(M56:M61),"Recortada",IF(COUNTIF(M56:M61,"Hecha")+COUNTIF(M56:M61,"Recortada")=COUNTA(M56:M61),"Hecha",IF(COUNTIF(M56:M61,"Bloqueada")&gt;0,"Bloqueada",IF(COUNTIF(M56:M61,"En curso")+COUNTIF(M56:M61,"Hecha")&gt;0,"En curso","Pendiente"))))</f>
        <v>Pendiente</v>
      </c>
      <c r="N55" s="14" t="n">
        <f aca="false">IFERROR(SUMPRODUCT((M56:M61&lt;&gt;"Recortada")*K56:K61*N56:N61)/K55,0)</f>
        <v>0</v>
      </c>
      <c r="O55" s="11"/>
      <c r="P55" s="11"/>
    </row>
    <row r="56" customFormat="false" ht="23.85" hidden="false" customHeight="false" outlineLevel="1" collapsed="false">
      <c r="A56" s="15" t="s">
        <v>280</v>
      </c>
      <c r="B56" s="16" t="s">
        <v>281</v>
      </c>
      <c r="C56" s="17" t="s">
        <v>282</v>
      </c>
      <c r="D56" s="18" t="s">
        <v>206</v>
      </c>
      <c r="E56" s="19"/>
      <c r="F56" s="17" t="s">
        <v>283</v>
      </c>
      <c r="G56" s="20" t="s">
        <v>30</v>
      </c>
      <c r="H56" s="20" t="s">
        <v>31</v>
      </c>
      <c r="I56" s="15" t="s">
        <v>32</v>
      </c>
      <c r="J56" s="20" t="s">
        <v>33</v>
      </c>
      <c r="K56" s="21" t="n">
        <v>1.5</v>
      </c>
      <c r="L56" s="22"/>
      <c r="M56" s="19" t="s">
        <v>34</v>
      </c>
      <c r="N56" s="23" t="n">
        <f aca="false">IF(M56="Hecha",1,IF(M56="En curso",0.5,0))</f>
        <v>0</v>
      </c>
      <c r="O56" s="17" t="s">
        <v>284</v>
      </c>
      <c r="P56" s="24"/>
    </row>
    <row r="57" customFormat="false" ht="23.85" hidden="false" customHeight="false" outlineLevel="1" collapsed="false">
      <c r="A57" s="15" t="s">
        <v>67</v>
      </c>
      <c r="B57" s="16" t="s">
        <v>285</v>
      </c>
      <c r="C57" s="17" t="s">
        <v>286</v>
      </c>
      <c r="D57" s="18" t="s">
        <v>206</v>
      </c>
      <c r="E57" s="19"/>
      <c r="F57" s="17" t="s">
        <v>287</v>
      </c>
      <c r="G57" s="20" t="s">
        <v>30</v>
      </c>
      <c r="H57" s="20" t="s">
        <v>31</v>
      </c>
      <c r="I57" s="15" t="s">
        <v>280</v>
      </c>
      <c r="J57" s="20" t="s">
        <v>33</v>
      </c>
      <c r="K57" s="21" t="n">
        <v>3</v>
      </c>
      <c r="L57" s="22"/>
      <c r="M57" s="19" t="s">
        <v>34</v>
      </c>
      <c r="N57" s="23" t="n">
        <f aca="false">IF(M57="Hecha",1,IF(M57="En curso",0.5,0))</f>
        <v>0</v>
      </c>
      <c r="O57" s="17" t="s">
        <v>288</v>
      </c>
      <c r="P57" s="24"/>
    </row>
    <row r="58" customFormat="false" ht="15" hidden="false" customHeight="false" outlineLevel="1" collapsed="false">
      <c r="A58" s="15" t="s">
        <v>289</v>
      </c>
      <c r="B58" s="16" t="s">
        <v>290</v>
      </c>
      <c r="C58" s="17" t="s">
        <v>291</v>
      </c>
      <c r="D58" s="18" t="s">
        <v>206</v>
      </c>
      <c r="E58" s="19"/>
      <c r="F58" s="17" t="s">
        <v>292</v>
      </c>
      <c r="G58" s="20" t="s">
        <v>30</v>
      </c>
      <c r="H58" s="20" t="s">
        <v>31</v>
      </c>
      <c r="I58" s="15" t="s">
        <v>67</v>
      </c>
      <c r="J58" s="20" t="s">
        <v>33</v>
      </c>
      <c r="K58" s="21" t="n">
        <v>2</v>
      </c>
      <c r="L58" s="22"/>
      <c r="M58" s="19" t="s">
        <v>34</v>
      </c>
      <c r="N58" s="23" t="n">
        <f aca="false">IF(M58="Hecha",1,IF(M58="En curso",0.5,0))</f>
        <v>0</v>
      </c>
      <c r="O58" s="17" t="s">
        <v>293</v>
      </c>
      <c r="P58" s="24"/>
    </row>
    <row r="59" customFormat="false" ht="23.85" hidden="false" customHeight="false" outlineLevel="1" collapsed="false">
      <c r="A59" s="15" t="s">
        <v>294</v>
      </c>
      <c r="B59" s="16" t="s">
        <v>295</v>
      </c>
      <c r="C59" s="17" t="s">
        <v>296</v>
      </c>
      <c r="D59" s="18" t="s">
        <v>206</v>
      </c>
      <c r="E59" s="19"/>
      <c r="F59" s="17" t="s">
        <v>297</v>
      </c>
      <c r="G59" s="20" t="s">
        <v>30</v>
      </c>
      <c r="H59" s="20" t="s">
        <v>31</v>
      </c>
      <c r="I59" s="15" t="s">
        <v>289</v>
      </c>
      <c r="J59" s="20" t="s">
        <v>33</v>
      </c>
      <c r="K59" s="21" t="n">
        <v>2</v>
      </c>
      <c r="L59" s="22"/>
      <c r="M59" s="19" t="s">
        <v>34</v>
      </c>
      <c r="N59" s="23" t="n">
        <f aca="false">IF(M59="Hecha",1,IF(M59="En curso",0.5,0))</f>
        <v>0</v>
      </c>
      <c r="O59" s="17" t="s">
        <v>298</v>
      </c>
      <c r="P59" s="24"/>
    </row>
    <row r="60" customFormat="false" ht="23.85" hidden="false" customHeight="false" outlineLevel="1" collapsed="false">
      <c r="A60" s="15" t="s">
        <v>299</v>
      </c>
      <c r="B60" s="16" t="s">
        <v>300</v>
      </c>
      <c r="C60" s="17" t="s">
        <v>301</v>
      </c>
      <c r="D60" s="18" t="s">
        <v>206</v>
      </c>
      <c r="E60" s="19"/>
      <c r="F60" s="17" t="s">
        <v>302</v>
      </c>
      <c r="G60" s="20" t="s">
        <v>30</v>
      </c>
      <c r="H60" s="20" t="s">
        <v>31</v>
      </c>
      <c r="I60" s="15" t="s">
        <v>303</v>
      </c>
      <c r="J60" s="20" t="s">
        <v>68</v>
      </c>
      <c r="K60" s="21" t="n">
        <v>1.5</v>
      </c>
      <c r="L60" s="22"/>
      <c r="M60" s="19" t="s">
        <v>34</v>
      </c>
      <c r="N60" s="23" t="n">
        <f aca="false">IF(M60="Hecha",1,IF(M60="En curso",0.5,0))</f>
        <v>0</v>
      </c>
      <c r="O60" s="17" t="s">
        <v>304</v>
      </c>
      <c r="P60" s="24"/>
    </row>
    <row r="61" customFormat="false" ht="15" hidden="false" customHeight="false" outlineLevel="1" collapsed="false">
      <c r="A61" s="15" t="s">
        <v>305</v>
      </c>
      <c r="B61" s="16" t="s">
        <v>306</v>
      </c>
      <c r="C61" s="17" t="s">
        <v>307</v>
      </c>
      <c r="D61" s="18" t="s">
        <v>206</v>
      </c>
      <c r="E61" s="19"/>
      <c r="F61" s="17" t="s">
        <v>308</v>
      </c>
      <c r="G61" s="20" t="s">
        <v>30</v>
      </c>
      <c r="H61" s="20" t="s">
        <v>121</v>
      </c>
      <c r="I61" s="15" t="s">
        <v>309</v>
      </c>
      <c r="J61" s="20" t="s">
        <v>33</v>
      </c>
      <c r="K61" s="21" t="n">
        <v>1</v>
      </c>
      <c r="L61" s="22"/>
      <c r="M61" s="19" t="s">
        <v>34</v>
      </c>
      <c r="N61" s="23" t="n">
        <f aca="false">IF(M61="Hecha",1,IF(M61="En curso",0.5,0))</f>
        <v>0</v>
      </c>
      <c r="O61" s="17" t="s">
        <v>310</v>
      </c>
      <c r="P61" s="24"/>
    </row>
    <row r="62" customFormat="false" ht="15" hidden="false" customHeight="false" outlineLevel="0" collapsed="false">
      <c r="A62" s="10" t="s">
        <v>311</v>
      </c>
      <c r="B62" s="11" t="s">
        <v>312</v>
      </c>
      <c r="C62" s="12" t="s">
        <v>313</v>
      </c>
      <c r="D62" s="11" t="s">
        <v>206</v>
      </c>
      <c r="E62" s="11"/>
      <c r="F62" s="11"/>
      <c r="G62" s="11"/>
      <c r="H62" s="11"/>
      <c r="I62" s="11"/>
      <c r="J62" s="11"/>
      <c r="K62" s="13" t="n">
        <f aca="false">SUMIFS(K63:K75,M63:M75,"&lt;&gt;Recortada")</f>
        <v>27.5</v>
      </c>
      <c r="L62" s="13" t="n">
        <f aca="false">SUM(L63:L75)</f>
        <v>0</v>
      </c>
      <c r="M62" s="10" t="str">
        <f aca="false">IF(COUNTIF(M63:M75,"Recortada")=COUNTA(M63:M75),"Recortada",IF(COUNTIF(M63:M75,"Hecha")+COUNTIF(M63:M75,"Recortada")=COUNTA(M63:M75),"Hecha",IF(COUNTIF(M63:M75,"Bloqueada")&gt;0,"Bloqueada",IF(COUNTIF(M63:M75,"En curso")+COUNTIF(M63:M75,"Hecha")&gt;0,"En curso","Pendiente"))))</f>
        <v>Pendiente</v>
      </c>
      <c r="N62" s="14" t="n">
        <f aca="false">IFERROR(SUMPRODUCT((M63:M75&lt;&gt;"Recortada")*K63:K75*N63:N75)/K62,0)</f>
        <v>0</v>
      </c>
      <c r="O62" s="11"/>
      <c r="P62" s="11"/>
    </row>
    <row r="63" customFormat="false" ht="23.85" hidden="false" customHeight="false" outlineLevel="1" collapsed="false">
      <c r="A63" s="15" t="s">
        <v>314</v>
      </c>
      <c r="B63" s="16" t="s">
        <v>315</v>
      </c>
      <c r="C63" s="17" t="s">
        <v>316</v>
      </c>
      <c r="D63" s="18" t="s">
        <v>206</v>
      </c>
      <c r="E63" s="19"/>
      <c r="F63" s="17" t="s">
        <v>317</v>
      </c>
      <c r="G63" s="20" t="s">
        <v>30</v>
      </c>
      <c r="H63" s="20" t="s">
        <v>31</v>
      </c>
      <c r="I63" s="15" t="s">
        <v>32</v>
      </c>
      <c r="J63" s="20" t="s">
        <v>33</v>
      </c>
      <c r="K63" s="21" t="n">
        <v>1.5</v>
      </c>
      <c r="L63" s="22"/>
      <c r="M63" s="19" t="s">
        <v>34</v>
      </c>
      <c r="N63" s="23" t="n">
        <f aca="false">IF(M63="Hecha",1,IF(M63="En curso",0.5,0))</f>
        <v>0</v>
      </c>
      <c r="O63" s="17" t="s">
        <v>318</v>
      </c>
      <c r="P63" s="24"/>
    </row>
    <row r="64" customFormat="false" ht="23.85" hidden="false" customHeight="false" outlineLevel="1" collapsed="false">
      <c r="A64" s="15" t="s">
        <v>319</v>
      </c>
      <c r="B64" s="16" t="s">
        <v>320</v>
      </c>
      <c r="C64" s="17" t="s">
        <v>321</v>
      </c>
      <c r="D64" s="18" t="s">
        <v>206</v>
      </c>
      <c r="E64" s="19"/>
      <c r="F64" s="17" t="s">
        <v>317</v>
      </c>
      <c r="G64" s="20" t="s">
        <v>30</v>
      </c>
      <c r="H64" s="20" t="s">
        <v>31</v>
      </c>
      <c r="I64" s="15" t="s">
        <v>322</v>
      </c>
      <c r="J64" s="20" t="s">
        <v>33</v>
      </c>
      <c r="K64" s="21" t="n">
        <v>2.5</v>
      </c>
      <c r="L64" s="22"/>
      <c r="M64" s="19" t="s">
        <v>34</v>
      </c>
      <c r="N64" s="23" t="n">
        <f aca="false">IF(M64="Hecha",1,IF(M64="En curso",0.5,0))</f>
        <v>0</v>
      </c>
      <c r="O64" s="17" t="s">
        <v>323</v>
      </c>
      <c r="P64" s="24"/>
    </row>
    <row r="65" customFormat="false" ht="23.85" hidden="false" customHeight="false" outlineLevel="1" collapsed="false">
      <c r="A65" s="15" t="s">
        <v>324</v>
      </c>
      <c r="B65" s="16" t="s">
        <v>325</v>
      </c>
      <c r="C65" s="17" t="s">
        <v>326</v>
      </c>
      <c r="D65" s="18" t="s">
        <v>206</v>
      </c>
      <c r="E65" s="19"/>
      <c r="F65" s="17" t="s">
        <v>327</v>
      </c>
      <c r="G65" s="20" t="s">
        <v>30</v>
      </c>
      <c r="H65" s="20" t="s">
        <v>31</v>
      </c>
      <c r="I65" s="15" t="s">
        <v>328</v>
      </c>
      <c r="J65" s="20" t="s">
        <v>33</v>
      </c>
      <c r="K65" s="21" t="n">
        <v>1.5</v>
      </c>
      <c r="L65" s="22"/>
      <c r="M65" s="19" t="s">
        <v>34</v>
      </c>
      <c r="N65" s="23" t="n">
        <f aca="false">IF(M65="Hecha",1,IF(M65="En curso",0.5,0))</f>
        <v>0</v>
      </c>
      <c r="O65" s="17" t="s">
        <v>329</v>
      </c>
      <c r="P65" s="24"/>
    </row>
    <row r="66" customFormat="false" ht="23.85" hidden="false" customHeight="false" outlineLevel="1" collapsed="false">
      <c r="A66" s="15" t="s">
        <v>330</v>
      </c>
      <c r="B66" s="16" t="s">
        <v>331</v>
      </c>
      <c r="C66" s="17" t="s">
        <v>332</v>
      </c>
      <c r="D66" s="18" t="s">
        <v>206</v>
      </c>
      <c r="E66" s="19"/>
      <c r="F66" s="17" t="s">
        <v>333</v>
      </c>
      <c r="G66" s="20" t="s">
        <v>30</v>
      </c>
      <c r="H66" s="20" t="s">
        <v>31</v>
      </c>
      <c r="I66" s="15" t="s">
        <v>334</v>
      </c>
      <c r="J66" s="20" t="s">
        <v>33</v>
      </c>
      <c r="K66" s="21" t="n">
        <v>3</v>
      </c>
      <c r="L66" s="22"/>
      <c r="M66" s="19" t="s">
        <v>34</v>
      </c>
      <c r="N66" s="23" t="n">
        <f aca="false">IF(M66="Hecha",1,IF(M66="En curso",0.5,0))</f>
        <v>0</v>
      </c>
      <c r="O66" s="17" t="s">
        <v>335</v>
      </c>
      <c r="P66" s="24"/>
    </row>
    <row r="67" customFormat="false" ht="23.85" hidden="false" customHeight="false" outlineLevel="1" collapsed="false">
      <c r="A67" s="15" t="s">
        <v>336</v>
      </c>
      <c r="B67" s="16" t="s">
        <v>337</v>
      </c>
      <c r="C67" s="17" t="s">
        <v>338</v>
      </c>
      <c r="D67" s="18" t="s">
        <v>206</v>
      </c>
      <c r="E67" s="19"/>
      <c r="F67" s="17" t="s">
        <v>339</v>
      </c>
      <c r="G67" s="20" t="s">
        <v>30</v>
      </c>
      <c r="H67" s="20" t="s">
        <v>31</v>
      </c>
      <c r="I67" s="15" t="s">
        <v>340</v>
      </c>
      <c r="J67" s="20" t="s">
        <v>33</v>
      </c>
      <c r="K67" s="21" t="n">
        <v>2.5</v>
      </c>
      <c r="L67" s="22"/>
      <c r="M67" s="19" t="s">
        <v>34</v>
      </c>
      <c r="N67" s="23" t="n">
        <f aca="false">IF(M67="Hecha",1,IF(M67="En curso",0.5,0))</f>
        <v>0</v>
      </c>
      <c r="O67" s="17" t="s">
        <v>341</v>
      </c>
      <c r="P67" s="24"/>
    </row>
    <row r="68" customFormat="false" ht="23.85" hidden="false" customHeight="false" outlineLevel="1" collapsed="false">
      <c r="A68" s="15" t="s">
        <v>342</v>
      </c>
      <c r="B68" s="16" t="s">
        <v>343</v>
      </c>
      <c r="C68" s="17" t="s">
        <v>344</v>
      </c>
      <c r="D68" s="18" t="s">
        <v>206</v>
      </c>
      <c r="E68" s="19"/>
      <c r="F68" s="17" t="s">
        <v>345</v>
      </c>
      <c r="G68" s="20" t="s">
        <v>30</v>
      </c>
      <c r="H68" s="20" t="s">
        <v>31</v>
      </c>
      <c r="I68" s="15" t="s">
        <v>336</v>
      </c>
      <c r="J68" s="20" t="s">
        <v>33</v>
      </c>
      <c r="K68" s="21" t="n">
        <v>1.5</v>
      </c>
      <c r="L68" s="22"/>
      <c r="M68" s="19" t="s">
        <v>34</v>
      </c>
      <c r="N68" s="23" t="n">
        <f aca="false">IF(M68="Hecha",1,IF(M68="En curso",0.5,0))</f>
        <v>0</v>
      </c>
      <c r="O68" s="17" t="s">
        <v>346</v>
      </c>
      <c r="P68" s="24"/>
    </row>
    <row r="69" customFormat="false" ht="23.85" hidden="false" customHeight="false" outlineLevel="1" collapsed="false">
      <c r="A69" s="15" t="s">
        <v>347</v>
      </c>
      <c r="B69" s="16" t="s">
        <v>348</v>
      </c>
      <c r="C69" s="17" t="s">
        <v>349</v>
      </c>
      <c r="D69" s="18" t="s">
        <v>206</v>
      </c>
      <c r="E69" s="19"/>
      <c r="F69" s="17" t="s">
        <v>350</v>
      </c>
      <c r="G69" s="20" t="s">
        <v>30</v>
      </c>
      <c r="H69" s="20" t="s">
        <v>31</v>
      </c>
      <c r="I69" s="15" t="s">
        <v>330</v>
      </c>
      <c r="J69" s="20" t="s">
        <v>33</v>
      </c>
      <c r="K69" s="21" t="n">
        <v>2</v>
      </c>
      <c r="L69" s="22"/>
      <c r="M69" s="19" t="s">
        <v>34</v>
      </c>
      <c r="N69" s="23" t="n">
        <f aca="false">IF(M69="Hecha",1,IF(M69="En curso",0.5,0))</f>
        <v>0</v>
      </c>
      <c r="O69" s="17" t="s">
        <v>351</v>
      </c>
      <c r="P69" s="24"/>
    </row>
    <row r="70" customFormat="false" ht="23.85" hidden="false" customHeight="false" outlineLevel="1" collapsed="false">
      <c r="A70" s="15" t="s">
        <v>352</v>
      </c>
      <c r="B70" s="16" t="s">
        <v>353</v>
      </c>
      <c r="C70" s="17" t="s">
        <v>354</v>
      </c>
      <c r="D70" s="18" t="s">
        <v>206</v>
      </c>
      <c r="E70" s="19"/>
      <c r="F70" s="17" t="s">
        <v>355</v>
      </c>
      <c r="G70" s="20" t="s">
        <v>30</v>
      </c>
      <c r="H70" s="20" t="s">
        <v>31</v>
      </c>
      <c r="I70" s="15" t="s">
        <v>330</v>
      </c>
      <c r="J70" s="20" t="s">
        <v>33</v>
      </c>
      <c r="K70" s="21" t="n">
        <v>3</v>
      </c>
      <c r="L70" s="22"/>
      <c r="M70" s="19" t="s">
        <v>34</v>
      </c>
      <c r="N70" s="23" t="n">
        <f aca="false">IF(M70="Hecha",1,IF(M70="En curso",0.5,0))</f>
        <v>0</v>
      </c>
      <c r="O70" s="17" t="s">
        <v>356</v>
      </c>
      <c r="P70" s="24"/>
    </row>
    <row r="71" customFormat="false" ht="23.85" hidden="false" customHeight="false" outlineLevel="1" collapsed="false">
      <c r="A71" s="15" t="s">
        <v>357</v>
      </c>
      <c r="B71" s="16" t="s">
        <v>358</v>
      </c>
      <c r="C71" s="17" t="s">
        <v>359</v>
      </c>
      <c r="D71" s="18" t="s">
        <v>206</v>
      </c>
      <c r="E71" s="19"/>
      <c r="F71" s="17" t="s">
        <v>360</v>
      </c>
      <c r="G71" s="20" t="s">
        <v>30</v>
      </c>
      <c r="H71" s="20" t="s">
        <v>31</v>
      </c>
      <c r="I71" s="15" t="s">
        <v>361</v>
      </c>
      <c r="J71" s="20" t="s">
        <v>68</v>
      </c>
      <c r="K71" s="21" t="n">
        <v>2.5</v>
      </c>
      <c r="L71" s="22"/>
      <c r="M71" s="19" t="s">
        <v>34</v>
      </c>
      <c r="N71" s="23" t="n">
        <f aca="false">IF(M71="Hecha",1,IF(M71="En curso",0.5,0))</f>
        <v>0</v>
      </c>
      <c r="O71" s="17" t="s">
        <v>362</v>
      </c>
      <c r="P71" s="24"/>
    </row>
    <row r="72" customFormat="false" ht="23.85" hidden="false" customHeight="false" outlineLevel="1" collapsed="false">
      <c r="A72" s="15" t="s">
        <v>363</v>
      </c>
      <c r="B72" s="16" t="s">
        <v>364</v>
      </c>
      <c r="C72" s="17" t="s">
        <v>365</v>
      </c>
      <c r="D72" s="18" t="s">
        <v>206</v>
      </c>
      <c r="E72" s="19"/>
      <c r="F72" s="17" t="s">
        <v>366</v>
      </c>
      <c r="G72" s="20" t="s">
        <v>30</v>
      </c>
      <c r="H72" s="20" t="s">
        <v>31</v>
      </c>
      <c r="I72" s="15" t="s">
        <v>367</v>
      </c>
      <c r="J72" s="20" t="s">
        <v>68</v>
      </c>
      <c r="K72" s="21" t="n">
        <v>3</v>
      </c>
      <c r="L72" s="22"/>
      <c r="M72" s="19" t="s">
        <v>34</v>
      </c>
      <c r="N72" s="23" t="n">
        <f aca="false">IF(M72="Hecha",1,IF(M72="En curso",0.5,0))</f>
        <v>0</v>
      </c>
      <c r="O72" s="17" t="s">
        <v>368</v>
      </c>
      <c r="P72" s="24"/>
    </row>
    <row r="73" customFormat="false" ht="23.85" hidden="false" customHeight="false" outlineLevel="1" collapsed="false">
      <c r="A73" s="15" t="s">
        <v>369</v>
      </c>
      <c r="B73" s="16" t="s">
        <v>370</v>
      </c>
      <c r="C73" s="17" t="s">
        <v>371</v>
      </c>
      <c r="D73" s="18" t="s">
        <v>206</v>
      </c>
      <c r="E73" s="19"/>
      <c r="F73" s="17" t="s">
        <v>372</v>
      </c>
      <c r="G73" s="20" t="s">
        <v>30</v>
      </c>
      <c r="H73" s="20" t="s">
        <v>31</v>
      </c>
      <c r="I73" s="15" t="s">
        <v>363</v>
      </c>
      <c r="J73" s="20" t="s">
        <v>68</v>
      </c>
      <c r="K73" s="21" t="n">
        <v>2</v>
      </c>
      <c r="L73" s="22"/>
      <c r="M73" s="19" t="s">
        <v>34</v>
      </c>
      <c r="N73" s="23" t="n">
        <f aca="false">IF(M73="Hecha",1,IF(M73="En curso",0.5,0))</f>
        <v>0</v>
      </c>
      <c r="O73" s="17" t="s">
        <v>373</v>
      </c>
      <c r="P73" s="24"/>
    </row>
    <row r="74" customFormat="false" ht="23.85" hidden="false" customHeight="false" outlineLevel="1" collapsed="false">
      <c r="A74" s="15" t="s">
        <v>374</v>
      </c>
      <c r="B74" s="16" t="s">
        <v>375</v>
      </c>
      <c r="C74" s="17" t="s">
        <v>376</v>
      </c>
      <c r="D74" s="18" t="s">
        <v>206</v>
      </c>
      <c r="E74" s="19"/>
      <c r="F74" s="17" t="s">
        <v>377</v>
      </c>
      <c r="G74" s="20" t="s">
        <v>30</v>
      </c>
      <c r="H74" s="20" t="s">
        <v>31</v>
      </c>
      <c r="I74" s="15" t="s">
        <v>367</v>
      </c>
      <c r="J74" s="20" t="s">
        <v>33</v>
      </c>
      <c r="K74" s="21" t="n">
        <v>1.5</v>
      </c>
      <c r="L74" s="22"/>
      <c r="M74" s="19" t="s">
        <v>34</v>
      </c>
      <c r="N74" s="23" t="n">
        <f aca="false">IF(M74="Hecha",1,IF(M74="En curso",0.5,0))</f>
        <v>0</v>
      </c>
      <c r="O74" s="17" t="s">
        <v>378</v>
      </c>
      <c r="P74" s="24"/>
    </row>
    <row r="75" customFormat="false" ht="23.85" hidden="false" customHeight="false" outlineLevel="1" collapsed="false">
      <c r="A75" s="15" t="s">
        <v>379</v>
      </c>
      <c r="B75" s="16" t="s">
        <v>380</v>
      </c>
      <c r="C75" s="17" t="s">
        <v>381</v>
      </c>
      <c r="D75" s="18" t="s">
        <v>206</v>
      </c>
      <c r="E75" s="19"/>
      <c r="F75" s="17" t="s">
        <v>382</v>
      </c>
      <c r="G75" s="20" t="s">
        <v>30</v>
      </c>
      <c r="H75" s="20" t="s">
        <v>31</v>
      </c>
      <c r="I75" s="15" t="s">
        <v>347</v>
      </c>
      <c r="J75" s="20" t="s">
        <v>68</v>
      </c>
      <c r="K75" s="21" t="n">
        <v>1</v>
      </c>
      <c r="L75" s="22"/>
      <c r="M75" s="19" t="s">
        <v>34</v>
      </c>
      <c r="N75" s="23" t="n">
        <f aca="false">IF(M75="Hecha",1,IF(M75="En curso",0.5,0))</f>
        <v>0</v>
      </c>
      <c r="O75" s="17" t="s">
        <v>383</v>
      </c>
      <c r="P75" s="24"/>
    </row>
    <row r="76" customFormat="false" ht="15" hidden="false" customHeight="false" outlineLevel="0" collapsed="false">
      <c r="A76" s="10" t="s">
        <v>384</v>
      </c>
      <c r="B76" s="11" t="s">
        <v>385</v>
      </c>
      <c r="C76" s="12" t="s">
        <v>386</v>
      </c>
      <c r="D76" s="11" t="s">
        <v>25</v>
      </c>
      <c r="E76" s="11"/>
      <c r="F76" s="11"/>
      <c r="G76" s="11"/>
      <c r="H76" s="11"/>
      <c r="I76" s="11"/>
      <c r="J76" s="11"/>
      <c r="K76" s="13" t="n">
        <f aca="false">SUMIFS(K77:K86,M77:M86,"&lt;&gt;Recortada")</f>
        <v>19</v>
      </c>
      <c r="L76" s="13" t="n">
        <f aca="false">SUM(L77:L86)</f>
        <v>0</v>
      </c>
      <c r="M76" s="10" t="str">
        <f aca="false">IF(COUNTIF(M77:M86,"Recortada")=COUNTA(M77:M86),"Recortada",IF(COUNTIF(M77:M86,"Hecha")+COUNTIF(M77:M86,"Recortada")=COUNTA(M77:M86),"Hecha",IF(COUNTIF(M77:M86,"Bloqueada")&gt;0,"Bloqueada",IF(COUNTIF(M77:M86,"En curso")+COUNTIF(M77:M86,"Hecha")&gt;0,"En curso","Pendiente"))))</f>
        <v>Pendiente</v>
      </c>
      <c r="N76" s="14" t="n">
        <f aca="false">IFERROR(SUMPRODUCT((M77:M86&lt;&gt;"Recortada")*K77:K86*N77:N86)/K76,0)</f>
        <v>0</v>
      </c>
      <c r="O76" s="11"/>
      <c r="P76" s="11"/>
    </row>
    <row r="77" customFormat="false" ht="23.85" hidden="false" customHeight="false" outlineLevel="1" collapsed="false">
      <c r="A77" s="15" t="s">
        <v>387</v>
      </c>
      <c r="B77" s="16" t="s">
        <v>388</v>
      </c>
      <c r="C77" s="17" t="s">
        <v>389</v>
      </c>
      <c r="D77" s="18" t="s">
        <v>65</v>
      </c>
      <c r="E77" s="19"/>
      <c r="F77" s="17" t="s">
        <v>390</v>
      </c>
      <c r="G77" s="20" t="s">
        <v>30</v>
      </c>
      <c r="H77" s="20" t="s">
        <v>31</v>
      </c>
      <c r="I77" s="15" t="s">
        <v>363</v>
      </c>
      <c r="J77" s="20" t="s">
        <v>68</v>
      </c>
      <c r="K77" s="21" t="n">
        <v>1.5</v>
      </c>
      <c r="L77" s="22"/>
      <c r="M77" s="19" t="s">
        <v>34</v>
      </c>
      <c r="N77" s="23" t="n">
        <f aca="false">IF(M77="Hecha",1,IF(M77="En curso",0.5,0))</f>
        <v>0</v>
      </c>
      <c r="O77" s="17" t="s">
        <v>391</v>
      </c>
      <c r="P77" s="24"/>
    </row>
    <row r="78" customFormat="false" ht="23.85" hidden="false" customHeight="false" outlineLevel="1" collapsed="false">
      <c r="A78" s="15" t="s">
        <v>392</v>
      </c>
      <c r="B78" s="16" t="s">
        <v>393</v>
      </c>
      <c r="C78" s="17" t="s">
        <v>394</v>
      </c>
      <c r="D78" s="18" t="s">
        <v>25</v>
      </c>
      <c r="E78" s="19"/>
      <c r="F78" s="17" t="s">
        <v>395</v>
      </c>
      <c r="G78" s="20" t="s">
        <v>30</v>
      </c>
      <c r="H78" s="20" t="s">
        <v>31</v>
      </c>
      <c r="I78" s="15" t="s">
        <v>100</v>
      </c>
      <c r="J78" s="20" t="s">
        <v>68</v>
      </c>
      <c r="K78" s="21" t="n">
        <v>2</v>
      </c>
      <c r="L78" s="22"/>
      <c r="M78" s="19" t="s">
        <v>34</v>
      </c>
      <c r="N78" s="23" t="n">
        <f aca="false">IF(M78="Hecha",1,IF(M78="En curso",0.5,0))</f>
        <v>0</v>
      </c>
      <c r="O78" s="17" t="s">
        <v>396</v>
      </c>
      <c r="P78" s="24"/>
    </row>
    <row r="79" customFormat="false" ht="15" hidden="false" customHeight="false" outlineLevel="1" collapsed="false">
      <c r="A79" s="15" t="s">
        <v>397</v>
      </c>
      <c r="B79" s="16" t="s">
        <v>398</v>
      </c>
      <c r="C79" s="17" t="s">
        <v>399</v>
      </c>
      <c r="D79" s="18" t="s">
        <v>25</v>
      </c>
      <c r="E79" s="19"/>
      <c r="F79" s="17" t="s">
        <v>400</v>
      </c>
      <c r="G79" s="20" t="s">
        <v>30</v>
      </c>
      <c r="H79" s="20" t="s">
        <v>121</v>
      </c>
      <c r="I79" s="15" t="s">
        <v>392</v>
      </c>
      <c r="J79" s="20" t="s">
        <v>68</v>
      </c>
      <c r="K79" s="21" t="n">
        <v>2</v>
      </c>
      <c r="L79" s="22"/>
      <c r="M79" s="19" t="s">
        <v>34</v>
      </c>
      <c r="N79" s="23" t="n">
        <f aca="false">IF(M79="Hecha",1,IF(M79="En curso",0.5,0))</f>
        <v>0</v>
      </c>
      <c r="O79" s="17" t="s">
        <v>401</v>
      </c>
      <c r="P79" s="24"/>
    </row>
    <row r="80" customFormat="false" ht="23.85" hidden="false" customHeight="false" outlineLevel="1" collapsed="false">
      <c r="A80" s="15" t="s">
        <v>402</v>
      </c>
      <c r="B80" s="16" t="s">
        <v>403</v>
      </c>
      <c r="C80" s="17" t="s">
        <v>404</v>
      </c>
      <c r="D80" s="18" t="s">
        <v>25</v>
      </c>
      <c r="E80" s="19"/>
      <c r="F80" s="17" t="s">
        <v>405</v>
      </c>
      <c r="G80" s="20" t="s">
        <v>30</v>
      </c>
      <c r="H80" s="20" t="s">
        <v>31</v>
      </c>
      <c r="I80" s="15" t="s">
        <v>406</v>
      </c>
      <c r="J80" s="20" t="s">
        <v>68</v>
      </c>
      <c r="K80" s="21" t="n">
        <v>1.5</v>
      </c>
      <c r="L80" s="22"/>
      <c r="M80" s="19" t="s">
        <v>34</v>
      </c>
      <c r="N80" s="23" t="n">
        <f aca="false">IF(M80="Hecha",1,IF(M80="En curso",0.5,0))</f>
        <v>0</v>
      </c>
      <c r="O80" s="17" t="s">
        <v>407</v>
      </c>
      <c r="P80" s="24"/>
    </row>
    <row r="81" customFormat="false" ht="15" hidden="false" customHeight="false" outlineLevel="1" collapsed="false">
      <c r="A81" s="15" t="s">
        <v>408</v>
      </c>
      <c r="B81" s="16" t="s">
        <v>409</v>
      </c>
      <c r="C81" s="17" t="s">
        <v>410</v>
      </c>
      <c r="D81" s="18" t="s">
        <v>25</v>
      </c>
      <c r="E81" s="19"/>
      <c r="F81" s="17" t="s">
        <v>411</v>
      </c>
      <c r="G81" s="20" t="s">
        <v>30</v>
      </c>
      <c r="H81" s="20" t="s">
        <v>31</v>
      </c>
      <c r="I81" s="15" t="s">
        <v>412</v>
      </c>
      <c r="J81" s="20" t="s">
        <v>68</v>
      </c>
      <c r="K81" s="21" t="n">
        <v>2.5</v>
      </c>
      <c r="L81" s="22"/>
      <c r="M81" s="19" t="s">
        <v>34</v>
      </c>
      <c r="N81" s="23" t="n">
        <f aca="false">IF(M81="Hecha",1,IF(M81="En curso",0.5,0))</f>
        <v>0</v>
      </c>
      <c r="O81" s="17" t="s">
        <v>413</v>
      </c>
      <c r="P81" s="24"/>
    </row>
    <row r="82" customFormat="false" ht="23.85" hidden="false" customHeight="false" outlineLevel="1" collapsed="false">
      <c r="A82" s="15" t="s">
        <v>414</v>
      </c>
      <c r="B82" s="16" t="s">
        <v>415</v>
      </c>
      <c r="C82" s="17" t="s">
        <v>416</v>
      </c>
      <c r="D82" s="18" t="s">
        <v>25</v>
      </c>
      <c r="E82" s="19"/>
      <c r="F82" s="17" t="s">
        <v>417</v>
      </c>
      <c r="G82" s="20" t="s">
        <v>30</v>
      </c>
      <c r="H82" s="20" t="s">
        <v>31</v>
      </c>
      <c r="I82" s="15" t="s">
        <v>408</v>
      </c>
      <c r="J82" s="20" t="s">
        <v>68</v>
      </c>
      <c r="K82" s="21" t="n">
        <v>2</v>
      </c>
      <c r="L82" s="22"/>
      <c r="M82" s="19" t="s">
        <v>34</v>
      </c>
      <c r="N82" s="23" t="n">
        <f aca="false">IF(M82="Hecha",1,IF(M82="En curso",0.5,0))</f>
        <v>0</v>
      </c>
      <c r="O82" s="17" t="s">
        <v>418</v>
      </c>
      <c r="P82" s="24"/>
    </row>
    <row r="83" customFormat="false" ht="23.85" hidden="false" customHeight="false" outlineLevel="1" collapsed="false">
      <c r="A83" s="15" t="s">
        <v>419</v>
      </c>
      <c r="B83" s="16" t="s">
        <v>420</v>
      </c>
      <c r="C83" s="17" t="s">
        <v>421</v>
      </c>
      <c r="D83" s="18" t="s">
        <v>25</v>
      </c>
      <c r="E83" s="19"/>
      <c r="F83" s="17" t="s">
        <v>422</v>
      </c>
      <c r="G83" s="20" t="s">
        <v>30</v>
      </c>
      <c r="H83" s="20" t="s">
        <v>31</v>
      </c>
      <c r="I83" s="15" t="s">
        <v>414</v>
      </c>
      <c r="J83" s="20" t="s">
        <v>68</v>
      </c>
      <c r="K83" s="21" t="n">
        <v>2</v>
      </c>
      <c r="L83" s="22"/>
      <c r="M83" s="19" t="s">
        <v>34</v>
      </c>
      <c r="N83" s="23" t="n">
        <f aca="false">IF(M83="Hecha",1,IF(M83="En curso",0.5,0))</f>
        <v>0</v>
      </c>
      <c r="O83" s="17" t="s">
        <v>423</v>
      </c>
      <c r="P83" s="24"/>
    </row>
    <row r="84" customFormat="false" ht="23.85" hidden="false" customHeight="false" outlineLevel="1" collapsed="false">
      <c r="A84" s="15" t="s">
        <v>424</v>
      </c>
      <c r="B84" s="16" t="s">
        <v>425</v>
      </c>
      <c r="C84" s="17" t="s">
        <v>426</v>
      </c>
      <c r="D84" s="18" t="s">
        <v>25</v>
      </c>
      <c r="E84" s="19"/>
      <c r="F84" s="17" t="s">
        <v>427</v>
      </c>
      <c r="G84" s="20" t="s">
        <v>30</v>
      </c>
      <c r="H84" s="20" t="s">
        <v>31</v>
      </c>
      <c r="I84" s="15" t="s">
        <v>428</v>
      </c>
      <c r="J84" s="20" t="s">
        <v>68</v>
      </c>
      <c r="K84" s="21" t="n">
        <v>2</v>
      </c>
      <c r="L84" s="22"/>
      <c r="M84" s="19" t="s">
        <v>34</v>
      </c>
      <c r="N84" s="23" t="n">
        <f aca="false">IF(M84="Hecha",1,IF(M84="En curso",0.5,0))</f>
        <v>0</v>
      </c>
      <c r="O84" s="17" t="s">
        <v>429</v>
      </c>
      <c r="P84" s="24"/>
    </row>
    <row r="85" customFormat="false" ht="15" hidden="false" customHeight="false" outlineLevel="1" collapsed="false">
      <c r="A85" s="15" t="s">
        <v>430</v>
      </c>
      <c r="B85" s="16" t="s">
        <v>431</v>
      </c>
      <c r="C85" s="17" t="s">
        <v>432</v>
      </c>
      <c r="D85" s="18" t="s">
        <v>25</v>
      </c>
      <c r="E85" s="19"/>
      <c r="F85" s="17" t="s">
        <v>377</v>
      </c>
      <c r="G85" s="20" t="s">
        <v>30</v>
      </c>
      <c r="H85" s="20" t="s">
        <v>31</v>
      </c>
      <c r="I85" s="15" t="s">
        <v>374</v>
      </c>
      <c r="J85" s="20" t="s">
        <v>68</v>
      </c>
      <c r="K85" s="21" t="n">
        <v>1.5</v>
      </c>
      <c r="L85" s="22"/>
      <c r="M85" s="19" t="s">
        <v>34</v>
      </c>
      <c r="N85" s="23" t="n">
        <f aca="false">IF(M85="Hecha",1,IF(M85="En curso",0.5,0))</f>
        <v>0</v>
      </c>
      <c r="O85" s="17" t="s">
        <v>433</v>
      </c>
      <c r="P85" s="24"/>
    </row>
    <row r="86" customFormat="false" ht="23.85" hidden="false" customHeight="false" outlineLevel="1" collapsed="false">
      <c r="A86" s="15" t="s">
        <v>434</v>
      </c>
      <c r="B86" s="16" t="s">
        <v>435</v>
      </c>
      <c r="C86" s="17" t="s">
        <v>436</v>
      </c>
      <c r="D86" s="18" t="s">
        <v>65</v>
      </c>
      <c r="E86" s="19"/>
      <c r="F86" s="17" t="s">
        <v>437</v>
      </c>
      <c r="G86" s="20" t="s">
        <v>92</v>
      </c>
      <c r="H86" s="20" t="s">
        <v>93</v>
      </c>
      <c r="I86" s="15" t="s">
        <v>392</v>
      </c>
      <c r="J86" s="20" t="s">
        <v>68</v>
      </c>
      <c r="K86" s="21" t="n">
        <v>2</v>
      </c>
      <c r="L86" s="22"/>
      <c r="M86" s="19" t="s">
        <v>34</v>
      </c>
      <c r="N86" s="23" t="n">
        <f aca="false">IF(M86="Hecha",1,IF(M86="En curso",0.5,0))</f>
        <v>0</v>
      </c>
      <c r="O86" s="17" t="s">
        <v>438</v>
      </c>
      <c r="P86" s="24"/>
    </row>
    <row r="87" customFormat="false" ht="15" hidden="false" customHeight="false" outlineLevel="0" collapsed="false">
      <c r="A87" s="10" t="s">
        <v>439</v>
      </c>
      <c r="B87" s="11" t="s">
        <v>440</v>
      </c>
      <c r="C87" s="12" t="s">
        <v>441</v>
      </c>
      <c r="D87" s="11" t="s">
        <v>25</v>
      </c>
      <c r="E87" s="11"/>
      <c r="F87" s="11"/>
      <c r="G87" s="11"/>
      <c r="H87" s="11"/>
      <c r="I87" s="11"/>
      <c r="J87" s="11"/>
      <c r="K87" s="13" t="n">
        <f aca="false">SUMIFS(K88:K92,M88:M92,"&lt;&gt;Recortada")</f>
        <v>8.5</v>
      </c>
      <c r="L87" s="13" t="n">
        <f aca="false">SUM(L88:L92)</f>
        <v>0</v>
      </c>
      <c r="M87" s="10" t="str">
        <f aca="false">IF(COUNTIF(M88:M92,"Recortada")=COUNTA(M88:M92),"Recortada",IF(COUNTIF(M88:M92,"Hecha")+COUNTIF(M88:M92,"Recortada")=COUNTA(M88:M92),"Hecha",IF(COUNTIF(M88:M92,"Bloqueada")&gt;0,"Bloqueada",IF(COUNTIF(M88:M92,"En curso")+COUNTIF(M88:M92,"Hecha")&gt;0,"En curso","Pendiente"))))</f>
        <v>Pendiente</v>
      </c>
      <c r="N87" s="14" t="n">
        <f aca="false">IFERROR(SUMPRODUCT((M88:M92&lt;&gt;"Recortada")*K88:K92*N88:N92)/K87,0)</f>
        <v>0</v>
      </c>
      <c r="O87" s="11"/>
      <c r="P87" s="11"/>
    </row>
    <row r="88" customFormat="false" ht="23.85" hidden="false" customHeight="false" outlineLevel="1" collapsed="false">
      <c r="A88" s="15" t="s">
        <v>442</v>
      </c>
      <c r="B88" s="16" t="s">
        <v>443</v>
      </c>
      <c r="C88" s="17" t="s">
        <v>444</v>
      </c>
      <c r="D88" s="18" t="s">
        <v>25</v>
      </c>
      <c r="E88" s="19"/>
      <c r="F88" s="17" t="s">
        <v>445</v>
      </c>
      <c r="G88" s="20" t="s">
        <v>30</v>
      </c>
      <c r="H88" s="20" t="s">
        <v>31</v>
      </c>
      <c r="I88" s="15" t="s">
        <v>392</v>
      </c>
      <c r="J88" s="20" t="s">
        <v>68</v>
      </c>
      <c r="K88" s="21" t="n">
        <v>1.5</v>
      </c>
      <c r="L88" s="22"/>
      <c r="M88" s="19" t="s">
        <v>34</v>
      </c>
      <c r="N88" s="23" t="n">
        <f aca="false">IF(M88="Hecha",1,IF(M88="En curso",0.5,0))</f>
        <v>0</v>
      </c>
      <c r="O88" s="17" t="s">
        <v>446</v>
      </c>
      <c r="P88" s="24"/>
    </row>
    <row r="89" customFormat="false" ht="15" hidden="false" customHeight="false" outlineLevel="1" collapsed="false">
      <c r="A89" s="15" t="s">
        <v>447</v>
      </c>
      <c r="B89" s="16" t="s">
        <v>448</v>
      </c>
      <c r="C89" s="17" t="s">
        <v>449</v>
      </c>
      <c r="D89" s="18" t="s">
        <v>25</v>
      </c>
      <c r="E89" s="19"/>
      <c r="F89" s="17" t="s">
        <v>450</v>
      </c>
      <c r="G89" s="20" t="s">
        <v>30</v>
      </c>
      <c r="H89" s="20" t="s">
        <v>31</v>
      </c>
      <c r="I89" s="15" t="s">
        <v>451</v>
      </c>
      <c r="J89" s="20" t="s">
        <v>68</v>
      </c>
      <c r="K89" s="21" t="n">
        <v>2</v>
      </c>
      <c r="L89" s="22"/>
      <c r="M89" s="19" t="s">
        <v>34</v>
      </c>
      <c r="N89" s="23" t="n">
        <f aca="false">IF(M89="Hecha",1,IF(M89="En curso",0.5,0))</f>
        <v>0</v>
      </c>
      <c r="O89" s="17" t="s">
        <v>452</v>
      </c>
      <c r="P89" s="24"/>
    </row>
    <row r="90" customFormat="false" ht="15" hidden="false" customHeight="false" outlineLevel="1" collapsed="false">
      <c r="A90" s="15" t="s">
        <v>453</v>
      </c>
      <c r="B90" s="16" t="s">
        <v>454</v>
      </c>
      <c r="C90" s="17" t="s">
        <v>455</v>
      </c>
      <c r="D90" s="18" t="s">
        <v>25</v>
      </c>
      <c r="E90" s="19"/>
      <c r="F90" s="17" t="s">
        <v>456</v>
      </c>
      <c r="G90" s="20" t="s">
        <v>92</v>
      </c>
      <c r="H90" s="20" t="s">
        <v>93</v>
      </c>
      <c r="I90" s="15" t="s">
        <v>457</v>
      </c>
      <c r="J90" s="20" t="s">
        <v>68</v>
      </c>
      <c r="K90" s="21" t="n">
        <v>1.5</v>
      </c>
      <c r="L90" s="22"/>
      <c r="M90" s="19" t="s">
        <v>34</v>
      </c>
      <c r="N90" s="23" t="n">
        <f aca="false">IF(M90="Hecha",1,IF(M90="En curso",0.5,0))</f>
        <v>0</v>
      </c>
      <c r="O90" s="17" t="s">
        <v>458</v>
      </c>
      <c r="P90" s="24"/>
    </row>
    <row r="91" customFormat="false" ht="23.85" hidden="false" customHeight="false" outlineLevel="1" collapsed="false">
      <c r="A91" s="15" t="s">
        <v>459</v>
      </c>
      <c r="B91" s="16" t="s">
        <v>460</v>
      </c>
      <c r="C91" s="17" t="s">
        <v>461</v>
      </c>
      <c r="D91" s="18" t="s">
        <v>25</v>
      </c>
      <c r="E91" s="19"/>
      <c r="F91" s="17" t="s">
        <v>462</v>
      </c>
      <c r="G91" s="20" t="s">
        <v>92</v>
      </c>
      <c r="H91" s="20" t="s">
        <v>93</v>
      </c>
      <c r="I91" s="15" t="s">
        <v>463</v>
      </c>
      <c r="J91" s="20" t="s">
        <v>68</v>
      </c>
      <c r="K91" s="21" t="n">
        <v>1</v>
      </c>
      <c r="L91" s="22"/>
      <c r="M91" s="19" t="s">
        <v>34</v>
      </c>
      <c r="N91" s="23" t="n">
        <f aca="false">IF(M91="Hecha",1,IF(M91="En curso",0.5,0))</f>
        <v>0</v>
      </c>
      <c r="O91" s="17" t="s">
        <v>464</v>
      </c>
      <c r="P91" s="24"/>
    </row>
    <row r="92" customFormat="false" ht="23.85" hidden="false" customHeight="false" outlineLevel="1" collapsed="false">
      <c r="A92" s="15" t="s">
        <v>465</v>
      </c>
      <c r="B92" s="16" t="s">
        <v>466</v>
      </c>
      <c r="C92" s="17" t="s">
        <v>467</v>
      </c>
      <c r="D92" s="18" t="s">
        <v>25</v>
      </c>
      <c r="E92" s="19"/>
      <c r="F92" s="17" t="s">
        <v>468</v>
      </c>
      <c r="G92" s="20" t="s">
        <v>92</v>
      </c>
      <c r="H92" s="20" t="s">
        <v>93</v>
      </c>
      <c r="I92" s="15" t="s">
        <v>469</v>
      </c>
      <c r="J92" s="20" t="s">
        <v>68</v>
      </c>
      <c r="K92" s="21" t="n">
        <v>2.5</v>
      </c>
      <c r="L92" s="22"/>
      <c r="M92" s="19" t="s">
        <v>34</v>
      </c>
      <c r="N92" s="23" t="n">
        <f aca="false">IF(M92="Hecha",1,IF(M92="En curso",0.5,0))</f>
        <v>0</v>
      </c>
      <c r="O92" s="17" t="s">
        <v>470</v>
      </c>
      <c r="P92" s="24"/>
    </row>
    <row r="93" customFormat="false" ht="23.85" hidden="false" customHeight="false" outlineLevel="0" collapsed="false">
      <c r="A93" s="10" t="s">
        <v>471</v>
      </c>
      <c r="B93" s="11" t="s">
        <v>472</v>
      </c>
      <c r="C93" s="12" t="s">
        <v>473</v>
      </c>
      <c r="D93" s="11" t="s">
        <v>65</v>
      </c>
      <c r="E93" s="11"/>
      <c r="F93" s="11"/>
      <c r="G93" s="11"/>
      <c r="H93" s="11"/>
      <c r="I93" s="11"/>
      <c r="J93" s="11"/>
      <c r="K93" s="13" t="n">
        <f aca="false">SUMIFS(K94:K96,M94:M96,"&lt;&gt;Recortada")</f>
        <v>7</v>
      </c>
      <c r="L93" s="13" t="n">
        <f aca="false">SUM(L94:L96)</f>
        <v>0</v>
      </c>
      <c r="M93" s="10" t="str">
        <f aca="false">IF(COUNTIF(M94:M96,"Recortada")=COUNTA(M94:M96),"Recortada",IF(COUNTIF(M94:M96,"Hecha")+COUNTIF(M94:M96,"Recortada")=COUNTA(M94:M96),"Hecha",IF(COUNTIF(M94:M96,"Bloqueada")&gt;0,"Bloqueada",IF(COUNTIF(M94:M96,"En curso")+COUNTIF(M94:M96,"Hecha")&gt;0,"En curso","Pendiente"))))</f>
        <v>Pendiente</v>
      </c>
      <c r="N93" s="14" t="n">
        <f aca="false">IFERROR(SUMPRODUCT((M94:M96&lt;&gt;"Recortada")*K94:K96*N94:N96)/K93,0)</f>
        <v>0</v>
      </c>
      <c r="O93" s="11"/>
      <c r="P93" s="11"/>
    </row>
    <row r="94" customFormat="false" ht="23.85" hidden="false" customHeight="false" outlineLevel="1" collapsed="false">
      <c r="A94" s="15" t="s">
        <v>474</v>
      </c>
      <c r="B94" s="16" t="s">
        <v>475</v>
      </c>
      <c r="C94" s="17" t="s">
        <v>476</v>
      </c>
      <c r="D94" s="18" t="s">
        <v>25</v>
      </c>
      <c r="E94" s="19"/>
      <c r="F94" s="17" t="s">
        <v>477</v>
      </c>
      <c r="G94" s="20" t="s">
        <v>30</v>
      </c>
      <c r="H94" s="20" t="s">
        <v>121</v>
      </c>
      <c r="I94" s="15" t="s">
        <v>402</v>
      </c>
      <c r="J94" s="20" t="s">
        <v>68</v>
      </c>
      <c r="K94" s="21" t="n">
        <v>2</v>
      </c>
      <c r="L94" s="22"/>
      <c r="M94" s="19" t="s">
        <v>34</v>
      </c>
      <c r="N94" s="23" t="n">
        <f aca="false">IF(M94="Hecha",1,IF(M94="En curso",0.5,0))</f>
        <v>0</v>
      </c>
      <c r="O94" s="17" t="s">
        <v>478</v>
      </c>
      <c r="P94" s="24"/>
    </row>
    <row r="95" customFormat="false" ht="23.85" hidden="false" customHeight="false" outlineLevel="1" collapsed="false">
      <c r="A95" s="15" t="s">
        <v>479</v>
      </c>
      <c r="B95" s="16" t="s">
        <v>480</v>
      </c>
      <c r="C95" s="17" t="s">
        <v>481</v>
      </c>
      <c r="D95" s="18" t="s">
        <v>206</v>
      </c>
      <c r="E95" s="19"/>
      <c r="F95" s="17" t="s">
        <v>482</v>
      </c>
      <c r="G95" s="20" t="s">
        <v>30</v>
      </c>
      <c r="H95" s="20" t="s">
        <v>121</v>
      </c>
      <c r="I95" s="15" t="s">
        <v>483</v>
      </c>
      <c r="J95" s="20" t="s">
        <v>68</v>
      </c>
      <c r="K95" s="21" t="n">
        <v>3</v>
      </c>
      <c r="L95" s="22"/>
      <c r="M95" s="19" t="s">
        <v>34</v>
      </c>
      <c r="N95" s="23" t="n">
        <f aca="false">IF(M95="Hecha",1,IF(M95="En curso",0.5,0))</f>
        <v>0</v>
      </c>
      <c r="O95" s="17" t="s">
        <v>484</v>
      </c>
      <c r="P95" s="24"/>
    </row>
    <row r="96" customFormat="false" ht="15" hidden="false" customHeight="false" outlineLevel="1" collapsed="false">
      <c r="A96" s="15" t="s">
        <v>485</v>
      </c>
      <c r="B96" s="16" t="s">
        <v>486</v>
      </c>
      <c r="C96" s="17" t="s">
        <v>487</v>
      </c>
      <c r="D96" s="18" t="s">
        <v>25</v>
      </c>
      <c r="E96" s="19"/>
      <c r="F96" s="17" t="s">
        <v>488</v>
      </c>
      <c r="G96" s="20" t="s">
        <v>30</v>
      </c>
      <c r="H96" s="20" t="s">
        <v>121</v>
      </c>
      <c r="I96" s="15" t="s">
        <v>489</v>
      </c>
      <c r="J96" s="20" t="s">
        <v>68</v>
      </c>
      <c r="K96" s="21" t="n">
        <v>2</v>
      </c>
      <c r="L96" s="22"/>
      <c r="M96" s="19" t="s">
        <v>34</v>
      </c>
      <c r="N96" s="23" t="n">
        <f aca="false">IF(M96="Hecha",1,IF(M96="En curso",0.5,0))</f>
        <v>0</v>
      </c>
      <c r="O96" s="17" t="s">
        <v>490</v>
      </c>
      <c r="P96" s="24"/>
    </row>
    <row r="97" customFormat="false" ht="15" hidden="false" customHeight="false" outlineLevel="0" collapsed="false">
      <c r="A97" s="10" t="s">
        <v>491</v>
      </c>
      <c r="B97" s="11" t="s">
        <v>492</v>
      </c>
      <c r="C97" s="12" t="s">
        <v>493</v>
      </c>
      <c r="D97" s="11" t="s">
        <v>206</v>
      </c>
      <c r="E97" s="11"/>
      <c r="F97" s="11"/>
      <c r="G97" s="11"/>
      <c r="H97" s="11"/>
      <c r="I97" s="11"/>
      <c r="J97" s="11"/>
      <c r="K97" s="13" t="n">
        <f aca="false">SUMIFS(K98:K103,M98:M103,"&lt;&gt;Recortada")</f>
        <v>13</v>
      </c>
      <c r="L97" s="13" t="n">
        <f aca="false">SUM(L98:L103)</f>
        <v>0</v>
      </c>
      <c r="M97" s="10" t="str">
        <f aca="false">IF(COUNTIF(M98:M103,"Recortada")=COUNTA(M98:M103),"Recortada",IF(COUNTIF(M98:M103,"Hecha")+COUNTIF(M98:M103,"Recortada")=COUNTA(M98:M103),"Hecha",IF(COUNTIF(M98:M103,"Bloqueada")&gt;0,"Bloqueada",IF(COUNTIF(M98:M103,"En curso")+COUNTIF(M98:M103,"Hecha")&gt;0,"En curso","Pendiente"))))</f>
        <v>Pendiente</v>
      </c>
      <c r="N97" s="14" t="n">
        <f aca="false">IFERROR(SUMPRODUCT((M98:M103&lt;&gt;"Recortada")*K98:K103*N98:N103)/K97,0)</f>
        <v>0</v>
      </c>
      <c r="O97" s="11"/>
      <c r="P97" s="11"/>
    </row>
    <row r="98" customFormat="false" ht="23.85" hidden="false" customHeight="false" outlineLevel="1" collapsed="false">
      <c r="A98" s="15" t="s">
        <v>494</v>
      </c>
      <c r="B98" s="16" t="s">
        <v>495</v>
      </c>
      <c r="C98" s="17" t="s">
        <v>496</v>
      </c>
      <c r="D98" s="18" t="s">
        <v>206</v>
      </c>
      <c r="E98" s="19"/>
      <c r="F98" s="17" t="s">
        <v>497</v>
      </c>
      <c r="G98" s="20" t="s">
        <v>30</v>
      </c>
      <c r="H98" s="20" t="s">
        <v>31</v>
      </c>
      <c r="I98" s="15" t="s">
        <v>498</v>
      </c>
      <c r="J98" s="20" t="s">
        <v>68</v>
      </c>
      <c r="K98" s="21" t="n">
        <v>3</v>
      </c>
      <c r="L98" s="22"/>
      <c r="M98" s="19" t="s">
        <v>34</v>
      </c>
      <c r="N98" s="23" t="n">
        <f aca="false">IF(M98="Hecha",1,IF(M98="En curso",0.5,0))</f>
        <v>0</v>
      </c>
      <c r="O98" s="17" t="s">
        <v>499</v>
      </c>
      <c r="P98" s="24"/>
    </row>
    <row r="99" customFormat="false" ht="23.85" hidden="false" customHeight="false" outlineLevel="1" collapsed="false">
      <c r="A99" s="15" t="s">
        <v>500</v>
      </c>
      <c r="B99" s="16" t="s">
        <v>501</v>
      </c>
      <c r="C99" s="17" t="s">
        <v>502</v>
      </c>
      <c r="D99" s="18" t="s">
        <v>206</v>
      </c>
      <c r="E99" s="19"/>
      <c r="F99" s="17" t="s">
        <v>503</v>
      </c>
      <c r="G99" s="20" t="s">
        <v>30</v>
      </c>
      <c r="H99" s="20" t="s">
        <v>31</v>
      </c>
      <c r="I99" s="15" t="s">
        <v>207</v>
      </c>
      <c r="J99" s="20" t="s">
        <v>68</v>
      </c>
      <c r="K99" s="21" t="n">
        <v>1.5</v>
      </c>
      <c r="L99" s="22"/>
      <c r="M99" s="19" t="s">
        <v>34</v>
      </c>
      <c r="N99" s="23" t="n">
        <f aca="false">IF(M99="Hecha",1,IF(M99="En curso",0.5,0))</f>
        <v>0</v>
      </c>
      <c r="O99" s="17" t="s">
        <v>504</v>
      </c>
      <c r="P99" s="24"/>
    </row>
    <row r="100" customFormat="false" ht="23.85" hidden="false" customHeight="false" outlineLevel="1" collapsed="false">
      <c r="A100" s="15" t="s">
        <v>505</v>
      </c>
      <c r="B100" s="16" t="s">
        <v>506</v>
      </c>
      <c r="C100" s="17" t="s">
        <v>507</v>
      </c>
      <c r="D100" s="18" t="s">
        <v>206</v>
      </c>
      <c r="E100" s="19"/>
      <c r="F100" s="17" t="s">
        <v>508</v>
      </c>
      <c r="G100" s="20" t="s">
        <v>30</v>
      </c>
      <c r="H100" s="20" t="s">
        <v>31</v>
      </c>
      <c r="I100" s="15" t="s">
        <v>509</v>
      </c>
      <c r="J100" s="20" t="s">
        <v>68</v>
      </c>
      <c r="K100" s="21" t="n">
        <v>3</v>
      </c>
      <c r="L100" s="22"/>
      <c r="M100" s="19" t="s">
        <v>34</v>
      </c>
      <c r="N100" s="23" t="n">
        <f aca="false">IF(M100="Hecha",1,IF(M100="En curso",0.5,0))</f>
        <v>0</v>
      </c>
      <c r="O100" s="17" t="s">
        <v>510</v>
      </c>
      <c r="P100" s="24"/>
    </row>
    <row r="101" customFormat="false" ht="23.85" hidden="false" customHeight="false" outlineLevel="1" collapsed="false">
      <c r="A101" s="15" t="s">
        <v>511</v>
      </c>
      <c r="B101" s="16" t="s">
        <v>512</v>
      </c>
      <c r="C101" s="17" t="s">
        <v>513</v>
      </c>
      <c r="D101" s="18" t="s">
        <v>206</v>
      </c>
      <c r="E101" s="19"/>
      <c r="F101" s="17" t="s">
        <v>514</v>
      </c>
      <c r="G101" s="20" t="s">
        <v>30</v>
      </c>
      <c r="H101" s="20" t="s">
        <v>31</v>
      </c>
      <c r="I101" s="15" t="s">
        <v>515</v>
      </c>
      <c r="J101" s="20" t="s">
        <v>68</v>
      </c>
      <c r="K101" s="21" t="n">
        <v>2</v>
      </c>
      <c r="L101" s="22"/>
      <c r="M101" s="19" t="s">
        <v>34</v>
      </c>
      <c r="N101" s="23" t="n">
        <f aca="false">IF(M101="Hecha",1,IF(M101="En curso",0.5,0))</f>
        <v>0</v>
      </c>
      <c r="O101" s="17" t="s">
        <v>516</v>
      </c>
      <c r="P101" s="24"/>
    </row>
    <row r="102" customFormat="false" ht="15" hidden="false" customHeight="false" outlineLevel="1" collapsed="false">
      <c r="A102" s="15" t="s">
        <v>517</v>
      </c>
      <c r="B102" s="16" t="s">
        <v>518</v>
      </c>
      <c r="C102" s="17" t="s">
        <v>519</v>
      </c>
      <c r="D102" s="18" t="s">
        <v>206</v>
      </c>
      <c r="E102" s="19"/>
      <c r="F102" s="17" t="s">
        <v>520</v>
      </c>
      <c r="G102" s="20" t="s">
        <v>30</v>
      </c>
      <c r="H102" s="20" t="s">
        <v>121</v>
      </c>
      <c r="I102" s="15" t="s">
        <v>336</v>
      </c>
      <c r="J102" s="20" t="s">
        <v>68</v>
      </c>
      <c r="K102" s="21" t="n">
        <v>1.5</v>
      </c>
      <c r="L102" s="22"/>
      <c r="M102" s="19" t="s">
        <v>34</v>
      </c>
      <c r="N102" s="23" t="n">
        <f aca="false">IF(M102="Hecha",1,IF(M102="En curso",0.5,0))</f>
        <v>0</v>
      </c>
      <c r="O102" s="17" t="s">
        <v>521</v>
      </c>
      <c r="P102" s="24"/>
    </row>
    <row r="103" customFormat="false" ht="15" hidden="false" customHeight="false" outlineLevel="1" collapsed="false">
      <c r="A103" s="15" t="s">
        <v>522</v>
      </c>
      <c r="B103" s="16" t="s">
        <v>523</v>
      </c>
      <c r="C103" s="17" t="s">
        <v>524</v>
      </c>
      <c r="D103" s="18" t="s">
        <v>65</v>
      </c>
      <c r="E103" s="19"/>
      <c r="F103" s="17" t="s">
        <v>525</v>
      </c>
      <c r="G103" s="20" t="s">
        <v>30</v>
      </c>
      <c r="H103" s="20" t="s">
        <v>121</v>
      </c>
      <c r="I103" s="15" t="s">
        <v>526</v>
      </c>
      <c r="J103" s="20" t="s">
        <v>68</v>
      </c>
      <c r="K103" s="21" t="n">
        <v>2</v>
      </c>
      <c r="L103" s="22"/>
      <c r="M103" s="19" t="s">
        <v>34</v>
      </c>
      <c r="N103" s="23" t="n">
        <f aca="false">IF(M103="Hecha",1,IF(M103="En curso",0.5,0))</f>
        <v>0</v>
      </c>
      <c r="O103" s="17" t="s">
        <v>527</v>
      </c>
      <c r="P103" s="24"/>
    </row>
    <row r="104" customFormat="false" ht="23.85" hidden="false" customHeight="false" outlineLevel="0" collapsed="false">
      <c r="A104" s="10" t="s">
        <v>528</v>
      </c>
      <c r="B104" s="11" t="s">
        <v>529</v>
      </c>
      <c r="C104" s="12" t="s">
        <v>530</v>
      </c>
      <c r="D104" s="11" t="s">
        <v>65</v>
      </c>
      <c r="E104" s="11"/>
      <c r="F104" s="11"/>
      <c r="G104" s="11"/>
      <c r="H104" s="11"/>
      <c r="I104" s="11"/>
      <c r="J104" s="11"/>
      <c r="K104" s="13" t="n">
        <f aca="false">SUMIFS(K105:K111,M105:M111,"&lt;&gt;Recortada")</f>
        <v>9</v>
      </c>
      <c r="L104" s="13" t="n">
        <f aca="false">SUM(L105:L111)</f>
        <v>0</v>
      </c>
      <c r="M104" s="10" t="str">
        <f aca="false">IF(COUNTIF(M105:M111,"Recortada")=COUNTA(M105:M111),"Recortada",IF(COUNTIF(M105:M111,"Hecha")+COUNTIF(M105:M111,"Recortada")=COUNTA(M105:M111),"Hecha",IF(COUNTIF(M105:M111,"Bloqueada")&gt;0,"Bloqueada",IF(COUNTIF(M105:M111,"En curso")+COUNTIF(M105:M111,"Hecha")&gt;0,"En curso","Pendiente"))))</f>
        <v>Pendiente</v>
      </c>
      <c r="N104" s="14" t="n">
        <f aca="false">IFERROR(SUMPRODUCT((M105:M111&lt;&gt;"Recortada")*K105:K111*N105:N111)/K104,0)</f>
        <v>0</v>
      </c>
      <c r="O104" s="11"/>
      <c r="P104" s="11"/>
    </row>
    <row r="105" customFormat="false" ht="23.85" hidden="false" customHeight="false" outlineLevel="1" collapsed="false">
      <c r="A105" s="15" t="s">
        <v>531</v>
      </c>
      <c r="B105" s="16" t="s">
        <v>532</v>
      </c>
      <c r="C105" s="17" t="s">
        <v>533</v>
      </c>
      <c r="D105" s="18" t="s">
        <v>65</v>
      </c>
      <c r="E105" s="19"/>
      <c r="F105" s="17" t="s">
        <v>534</v>
      </c>
      <c r="G105" s="20" t="s">
        <v>30</v>
      </c>
      <c r="H105" s="20" t="s">
        <v>31</v>
      </c>
      <c r="I105" s="15" t="s">
        <v>32</v>
      </c>
      <c r="J105" s="20" t="s">
        <v>33</v>
      </c>
      <c r="K105" s="21" t="n">
        <v>0.5</v>
      </c>
      <c r="L105" s="22"/>
      <c r="M105" s="19" t="s">
        <v>34</v>
      </c>
      <c r="N105" s="23" t="n">
        <f aca="false">IF(M105="Hecha",1,IF(M105="En curso",0.5,0))</f>
        <v>0</v>
      </c>
      <c r="O105" s="17" t="s">
        <v>535</v>
      </c>
      <c r="P105" s="24"/>
    </row>
    <row r="106" customFormat="false" ht="35.05" hidden="false" customHeight="false" outlineLevel="1" collapsed="false">
      <c r="A106" s="15" t="s">
        <v>536</v>
      </c>
      <c r="B106" s="16" t="s">
        <v>537</v>
      </c>
      <c r="C106" s="17" t="s">
        <v>538</v>
      </c>
      <c r="D106" s="18" t="s">
        <v>65</v>
      </c>
      <c r="E106" s="19"/>
      <c r="F106" s="17" t="s">
        <v>539</v>
      </c>
      <c r="G106" s="20" t="s">
        <v>30</v>
      </c>
      <c r="H106" s="20" t="s">
        <v>31</v>
      </c>
      <c r="I106" s="15" t="s">
        <v>540</v>
      </c>
      <c r="J106" s="20" t="s">
        <v>68</v>
      </c>
      <c r="K106" s="21" t="n">
        <v>2</v>
      </c>
      <c r="L106" s="22"/>
      <c r="M106" s="19" t="s">
        <v>34</v>
      </c>
      <c r="N106" s="23" t="n">
        <f aca="false">IF(M106="Hecha",1,IF(M106="En curso",0.5,0))</f>
        <v>0</v>
      </c>
      <c r="O106" s="17" t="s">
        <v>541</v>
      </c>
      <c r="P106" s="24"/>
    </row>
    <row r="107" customFormat="false" ht="35.05" hidden="false" customHeight="false" outlineLevel="1" collapsed="false">
      <c r="A107" s="15" t="s">
        <v>542</v>
      </c>
      <c r="B107" s="16" t="s">
        <v>543</v>
      </c>
      <c r="C107" s="17" t="s">
        <v>544</v>
      </c>
      <c r="D107" s="18" t="s">
        <v>65</v>
      </c>
      <c r="E107" s="19"/>
      <c r="F107" s="17" t="s">
        <v>545</v>
      </c>
      <c r="G107" s="20" t="s">
        <v>30</v>
      </c>
      <c r="H107" s="20" t="s">
        <v>31</v>
      </c>
      <c r="I107" s="15" t="s">
        <v>280</v>
      </c>
      <c r="J107" s="20" t="s">
        <v>68</v>
      </c>
      <c r="K107" s="21" t="n">
        <v>3</v>
      </c>
      <c r="L107" s="22"/>
      <c r="M107" s="19" t="s">
        <v>34</v>
      </c>
      <c r="N107" s="23" t="n">
        <f aca="false">IF(M107="Hecha",1,IF(M107="En curso",0.5,0))</f>
        <v>0</v>
      </c>
      <c r="O107" s="17" t="s">
        <v>546</v>
      </c>
      <c r="P107" s="24"/>
    </row>
    <row r="108" customFormat="false" ht="15" hidden="false" customHeight="false" outlineLevel="1" collapsed="false">
      <c r="A108" s="15" t="s">
        <v>547</v>
      </c>
      <c r="B108" s="16" t="s">
        <v>548</v>
      </c>
      <c r="C108" s="17" t="s">
        <v>549</v>
      </c>
      <c r="D108" s="18" t="s">
        <v>206</v>
      </c>
      <c r="E108" s="19"/>
      <c r="F108" s="17" t="s">
        <v>550</v>
      </c>
      <c r="G108" s="20" t="s">
        <v>30</v>
      </c>
      <c r="H108" s="20" t="s">
        <v>121</v>
      </c>
      <c r="I108" s="15" t="s">
        <v>32</v>
      </c>
      <c r="J108" s="20" t="s">
        <v>68</v>
      </c>
      <c r="K108" s="21" t="n">
        <v>1</v>
      </c>
      <c r="L108" s="22"/>
      <c r="M108" s="19" t="s">
        <v>34</v>
      </c>
      <c r="N108" s="23" t="n">
        <f aca="false">IF(M108="Hecha",1,IF(M108="En curso",0.5,0))</f>
        <v>0</v>
      </c>
      <c r="O108" s="17" t="s">
        <v>551</v>
      </c>
      <c r="P108" s="24"/>
    </row>
    <row r="109" customFormat="false" ht="15" hidden="false" customHeight="false" outlineLevel="1" collapsed="false">
      <c r="A109" s="15" t="s">
        <v>552</v>
      </c>
      <c r="B109" s="16" t="s">
        <v>553</v>
      </c>
      <c r="C109" s="17" t="s">
        <v>554</v>
      </c>
      <c r="D109" s="18" t="s">
        <v>206</v>
      </c>
      <c r="E109" s="19"/>
      <c r="F109" s="17" t="s">
        <v>339</v>
      </c>
      <c r="G109" s="20" t="s">
        <v>30</v>
      </c>
      <c r="H109" s="20" t="s">
        <v>31</v>
      </c>
      <c r="I109" s="15" t="s">
        <v>336</v>
      </c>
      <c r="J109" s="20" t="s">
        <v>68</v>
      </c>
      <c r="K109" s="21" t="n">
        <v>1</v>
      </c>
      <c r="L109" s="22"/>
      <c r="M109" s="19" t="s">
        <v>34</v>
      </c>
      <c r="N109" s="23" t="n">
        <f aca="false">IF(M109="Hecha",1,IF(M109="En curso",0.5,0))</f>
        <v>0</v>
      </c>
      <c r="O109" s="17" t="s">
        <v>555</v>
      </c>
      <c r="P109" s="24"/>
    </row>
    <row r="110" customFormat="false" ht="15" hidden="false" customHeight="false" outlineLevel="1" collapsed="false">
      <c r="A110" s="15" t="s">
        <v>556</v>
      </c>
      <c r="B110" s="16" t="s">
        <v>557</v>
      </c>
      <c r="C110" s="17" t="s">
        <v>558</v>
      </c>
      <c r="D110" s="18" t="s">
        <v>65</v>
      </c>
      <c r="E110" s="19"/>
      <c r="F110" s="17" t="s">
        <v>559</v>
      </c>
      <c r="G110" s="20" t="s">
        <v>30</v>
      </c>
      <c r="H110" s="20" t="s">
        <v>121</v>
      </c>
      <c r="I110" s="15" t="s">
        <v>32</v>
      </c>
      <c r="J110" s="20" t="s">
        <v>33</v>
      </c>
      <c r="K110" s="21" t="n">
        <v>0.5</v>
      </c>
      <c r="L110" s="22"/>
      <c r="M110" s="19" t="s">
        <v>34</v>
      </c>
      <c r="N110" s="23" t="n">
        <f aca="false">IF(M110="Hecha",1,IF(M110="En curso",0.5,0))</f>
        <v>0</v>
      </c>
      <c r="O110" s="17" t="s">
        <v>560</v>
      </c>
      <c r="P110" s="24"/>
    </row>
    <row r="111" customFormat="false" ht="15" hidden="false" customHeight="false" outlineLevel="1" collapsed="false">
      <c r="A111" s="15" t="s">
        <v>561</v>
      </c>
      <c r="B111" s="16" t="s">
        <v>562</v>
      </c>
      <c r="C111" s="17" t="s">
        <v>563</v>
      </c>
      <c r="D111" s="18" t="s">
        <v>65</v>
      </c>
      <c r="E111" s="19"/>
      <c r="F111" s="17" t="s">
        <v>564</v>
      </c>
      <c r="G111" s="20" t="s">
        <v>30</v>
      </c>
      <c r="H111" s="20" t="s">
        <v>121</v>
      </c>
      <c r="I111" s="15" t="s">
        <v>32</v>
      </c>
      <c r="J111" s="20" t="s">
        <v>33</v>
      </c>
      <c r="K111" s="21" t="n">
        <v>1</v>
      </c>
      <c r="L111" s="22"/>
      <c r="M111" s="19" t="s">
        <v>34</v>
      </c>
      <c r="N111" s="23" t="n">
        <f aca="false">IF(M111="Hecha",1,IF(M111="En curso",0.5,0))</f>
        <v>0</v>
      </c>
      <c r="O111" s="17" t="s">
        <v>565</v>
      </c>
      <c r="P111" s="24"/>
    </row>
    <row r="112" customFormat="false" ht="23.85" hidden="false" customHeight="false" outlineLevel="0" collapsed="false">
      <c r="A112" s="10" t="s">
        <v>566</v>
      </c>
      <c r="B112" s="11" t="s">
        <v>567</v>
      </c>
      <c r="C112" s="12" t="s">
        <v>568</v>
      </c>
      <c r="D112" s="11" t="s">
        <v>65</v>
      </c>
      <c r="E112" s="11"/>
      <c r="F112" s="11"/>
      <c r="G112" s="11"/>
      <c r="H112" s="11"/>
      <c r="I112" s="11"/>
      <c r="J112" s="11"/>
      <c r="K112" s="13" t="n">
        <f aca="false">SUMIFS(K113:K121,M113:M121,"&lt;&gt;Recortada")</f>
        <v>12</v>
      </c>
      <c r="L112" s="13" t="n">
        <f aca="false">SUM(L113:L121)</f>
        <v>0</v>
      </c>
      <c r="M112" s="10" t="str">
        <f aca="false">IF(COUNTIF(M113:M121,"Recortada")=COUNTA(M113:M121),"Recortada",IF(COUNTIF(M113:M121,"Hecha")+COUNTIF(M113:M121,"Recortada")=COUNTA(M113:M121),"Hecha",IF(COUNTIF(M113:M121,"Bloqueada")&gt;0,"Bloqueada",IF(COUNTIF(M113:M121,"En curso")+COUNTIF(M113:M121,"Hecha")&gt;0,"En curso","Pendiente"))))</f>
        <v>Pendiente</v>
      </c>
      <c r="N112" s="14" t="n">
        <f aca="false">IFERROR(SUMPRODUCT((M113:M121&lt;&gt;"Recortada")*K113:K121*N113:N121)/K112,0)</f>
        <v>0</v>
      </c>
      <c r="O112" s="11"/>
      <c r="P112" s="11"/>
    </row>
    <row r="113" customFormat="false" ht="23.85" hidden="false" customHeight="false" outlineLevel="1" collapsed="false">
      <c r="A113" s="15" t="s">
        <v>569</v>
      </c>
      <c r="B113" s="16" t="s">
        <v>570</v>
      </c>
      <c r="C113" s="17" t="s">
        <v>571</v>
      </c>
      <c r="D113" s="18" t="s">
        <v>65</v>
      </c>
      <c r="E113" s="19"/>
      <c r="F113" s="17" t="s">
        <v>572</v>
      </c>
      <c r="G113" s="20" t="s">
        <v>30</v>
      </c>
      <c r="H113" s="20" t="s">
        <v>31</v>
      </c>
      <c r="I113" s="15" t="s">
        <v>32</v>
      </c>
      <c r="J113" s="20" t="s">
        <v>68</v>
      </c>
      <c r="K113" s="21" t="n">
        <v>0.5</v>
      </c>
      <c r="L113" s="22"/>
      <c r="M113" s="19" t="s">
        <v>34</v>
      </c>
      <c r="N113" s="23" t="n">
        <f aca="false">IF(M113="Hecha",1,IF(M113="En curso",0.5,0))</f>
        <v>0</v>
      </c>
      <c r="O113" s="17" t="s">
        <v>573</v>
      </c>
      <c r="P113" s="24"/>
    </row>
    <row r="114" customFormat="false" ht="23.85" hidden="false" customHeight="false" outlineLevel="1" collapsed="false">
      <c r="A114" s="15" t="s">
        <v>574</v>
      </c>
      <c r="B114" s="16" t="s">
        <v>575</v>
      </c>
      <c r="C114" s="17" t="s">
        <v>576</v>
      </c>
      <c r="D114" s="18" t="s">
        <v>65</v>
      </c>
      <c r="E114" s="19"/>
      <c r="F114" s="17" t="s">
        <v>44</v>
      </c>
      <c r="G114" s="20" t="s">
        <v>30</v>
      </c>
      <c r="H114" s="20" t="s">
        <v>31</v>
      </c>
      <c r="I114" s="15" t="s">
        <v>280</v>
      </c>
      <c r="J114" s="20" t="s">
        <v>68</v>
      </c>
      <c r="K114" s="21" t="n">
        <v>0.5</v>
      </c>
      <c r="L114" s="22"/>
      <c r="M114" s="19" t="s">
        <v>34</v>
      </c>
      <c r="N114" s="23" t="n">
        <f aca="false">IF(M114="Hecha",1,IF(M114="En curso",0.5,0))</f>
        <v>0</v>
      </c>
      <c r="O114" s="17" t="s">
        <v>577</v>
      </c>
      <c r="P114" s="24"/>
    </row>
    <row r="115" customFormat="false" ht="23.85" hidden="false" customHeight="false" outlineLevel="1" collapsed="false">
      <c r="A115" s="15" t="s">
        <v>578</v>
      </c>
      <c r="B115" s="16" t="s">
        <v>579</v>
      </c>
      <c r="C115" s="17" t="s">
        <v>580</v>
      </c>
      <c r="D115" s="18" t="s">
        <v>65</v>
      </c>
      <c r="E115" s="19"/>
      <c r="F115" s="17" t="s">
        <v>581</v>
      </c>
      <c r="G115" s="20" t="s">
        <v>30</v>
      </c>
      <c r="H115" s="20" t="s">
        <v>31</v>
      </c>
      <c r="I115" s="15" t="s">
        <v>582</v>
      </c>
      <c r="J115" s="20" t="s">
        <v>68</v>
      </c>
      <c r="K115" s="21" t="n">
        <v>2.5</v>
      </c>
      <c r="L115" s="22"/>
      <c r="M115" s="19" t="s">
        <v>34</v>
      </c>
      <c r="N115" s="23" t="n">
        <f aca="false">IF(M115="Hecha",1,IF(M115="En curso",0.5,0))</f>
        <v>0</v>
      </c>
      <c r="O115" s="17" t="s">
        <v>583</v>
      </c>
      <c r="P115" s="24"/>
    </row>
    <row r="116" customFormat="false" ht="23.85" hidden="false" customHeight="false" outlineLevel="1" collapsed="false">
      <c r="A116" s="15" t="s">
        <v>584</v>
      </c>
      <c r="B116" s="16" t="s">
        <v>585</v>
      </c>
      <c r="C116" s="17" t="s">
        <v>586</v>
      </c>
      <c r="D116" s="18" t="s">
        <v>65</v>
      </c>
      <c r="E116" s="19"/>
      <c r="F116" s="17" t="s">
        <v>525</v>
      </c>
      <c r="G116" s="20" t="s">
        <v>30</v>
      </c>
      <c r="H116" s="20" t="s">
        <v>121</v>
      </c>
      <c r="I116" s="15" t="s">
        <v>587</v>
      </c>
      <c r="J116" s="20" t="s">
        <v>68</v>
      </c>
      <c r="K116" s="21" t="n">
        <v>1.5</v>
      </c>
      <c r="L116" s="22"/>
      <c r="M116" s="19" t="s">
        <v>34</v>
      </c>
      <c r="N116" s="23" t="n">
        <f aca="false">IF(M116="Hecha",1,IF(M116="En curso",0.5,0))</f>
        <v>0</v>
      </c>
      <c r="O116" s="17" t="s">
        <v>588</v>
      </c>
      <c r="P116" s="24"/>
    </row>
    <row r="117" customFormat="false" ht="15" hidden="false" customHeight="false" outlineLevel="1" collapsed="false">
      <c r="A117" s="15" t="s">
        <v>589</v>
      </c>
      <c r="B117" s="16" t="s">
        <v>590</v>
      </c>
      <c r="C117" s="17" t="s">
        <v>591</v>
      </c>
      <c r="D117" s="18" t="s">
        <v>65</v>
      </c>
      <c r="E117" s="19"/>
      <c r="F117" s="17" t="s">
        <v>592</v>
      </c>
      <c r="G117" s="20" t="s">
        <v>30</v>
      </c>
      <c r="H117" s="20" t="s">
        <v>31</v>
      </c>
      <c r="I117" s="15" t="s">
        <v>578</v>
      </c>
      <c r="J117" s="20" t="s">
        <v>68</v>
      </c>
      <c r="K117" s="21" t="n">
        <v>0.5</v>
      </c>
      <c r="L117" s="22"/>
      <c r="M117" s="19" t="s">
        <v>34</v>
      </c>
      <c r="N117" s="23" t="n">
        <f aca="false">IF(M117="Hecha",1,IF(M117="En curso",0.5,0))</f>
        <v>0</v>
      </c>
      <c r="O117" s="17" t="s">
        <v>593</v>
      </c>
      <c r="P117" s="24"/>
    </row>
    <row r="118" customFormat="false" ht="23.85" hidden="false" customHeight="false" outlineLevel="1" collapsed="false">
      <c r="A118" s="15" t="s">
        <v>594</v>
      </c>
      <c r="B118" s="16" t="s">
        <v>595</v>
      </c>
      <c r="C118" s="17" t="s">
        <v>596</v>
      </c>
      <c r="D118" s="18" t="s">
        <v>65</v>
      </c>
      <c r="E118" s="19"/>
      <c r="F118" s="17" t="s">
        <v>597</v>
      </c>
      <c r="G118" s="20" t="s">
        <v>30</v>
      </c>
      <c r="H118" s="20" t="s">
        <v>31</v>
      </c>
      <c r="I118" s="15" t="s">
        <v>598</v>
      </c>
      <c r="J118" s="20" t="s">
        <v>68</v>
      </c>
      <c r="K118" s="21" t="n">
        <v>0.5</v>
      </c>
      <c r="L118" s="22"/>
      <c r="M118" s="19" t="s">
        <v>34</v>
      </c>
      <c r="N118" s="23" t="n">
        <f aca="false">IF(M118="Hecha",1,IF(M118="En curso",0.5,0))</f>
        <v>0</v>
      </c>
      <c r="O118" s="17" t="s">
        <v>599</v>
      </c>
      <c r="P118" s="24"/>
    </row>
    <row r="119" customFormat="false" ht="23.85" hidden="false" customHeight="false" outlineLevel="1" collapsed="false">
      <c r="A119" s="15" t="s">
        <v>600</v>
      </c>
      <c r="B119" s="16" t="s">
        <v>601</v>
      </c>
      <c r="C119" s="17" t="s">
        <v>602</v>
      </c>
      <c r="D119" s="18" t="s">
        <v>65</v>
      </c>
      <c r="E119" s="19"/>
      <c r="F119" s="17" t="s">
        <v>603</v>
      </c>
      <c r="G119" s="20" t="s">
        <v>30</v>
      </c>
      <c r="H119" s="20" t="s">
        <v>31</v>
      </c>
      <c r="I119" s="15" t="s">
        <v>589</v>
      </c>
      <c r="J119" s="20" t="s">
        <v>604</v>
      </c>
      <c r="K119" s="21" t="n">
        <v>2.5</v>
      </c>
      <c r="L119" s="22"/>
      <c r="M119" s="19" t="s">
        <v>34</v>
      </c>
      <c r="N119" s="23" t="n">
        <f aca="false">IF(M119="Hecha",1,IF(M119="En curso",0.5,0))</f>
        <v>0</v>
      </c>
      <c r="O119" s="17" t="s">
        <v>605</v>
      </c>
      <c r="P119" s="24"/>
    </row>
    <row r="120" customFormat="false" ht="23.85" hidden="false" customHeight="false" outlineLevel="1" collapsed="false">
      <c r="A120" s="15" t="s">
        <v>606</v>
      </c>
      <c r="B120" s="16" t="s">
        <v>607</v>
      </c>
      <c r="C120" s="17" t="s">
        <v>608</v>
      </c>
      <c r="D120" s="18" t="s">
        <v>65</v>
      </c>
      <c r="E120" s="19"/>
      <c r="F120" s="17" t="s">
        <v>609</v>
      </c>
      <c r="G120" s="20" t="s">
        <v>30</v>
      </c>
      <c r="H120" s="20" t="s">
        <v>31</v>
      </c>
      <c r="I120" s="15" t="s">
        <v>542</v>
      </c>
      <c r="J120" s="20" t="s">
        <v>604</v>
      </c>
      <c r="K120" s="21" t="n">
        <v>1.5</v>
      </c>
      <c r="L120" s="22"/>
      <c r="M120" s="19" t="s">
        <v>34</v>
      </c>
      <c r="N120" s="23" t="n">
        <f aca="false">IF(M120="Hecha",1,IF(M120="En curso",0.5,0))</f>
        <v>0</v>
      </c>
      <c r="O120" s="17" t="s">
        <v>610</v>
      </c>
      <c r="P120" s="24"/>
    </row>
    <row r="121" customFormat="false" ht="15" hidden="false" customHeight="false" outlineLevel="1" collapsed="false">
      <c r="A121" s="15" t="s">
        <v>611</v>
      </c>
      <c r="B121" s="16" t="s">
        <v>612</v>
      </c>
      <c r="C121" s="17" t="s">
        <v>613</v>
      </c>
      <c r="D121" s="18" t="s">
        <v>65</v>
      </c>
      <c r="E121" s="19"/>
      <c r="F121" s="17" t="s">
        <v>32</v>
      </c>
      <c r="G121" s="20" t="s">
        <v>30</v>
      </c>
      <c r="H121" s="20" t="s">
        <v>31</v>
      </c>
      <c r="I121" s="15" t="s">
        <v>600</v>
      </c>
      <c r="J121" s="20" t="s">
        <v>614</v>
      </c>
      <c r="K121" s="21" t="n">
        <v>2</v>
      </c>
      <c r="L121" s="22"/>
      <c r="M121" s="19" t="s">
        <v>34</v>
      </c>
      <c r="N121" s="23" t="n">
        <f aca="false">IF(M121="Hecha",1,IF(M121="En curso",0.5,0))</f>
        <v>0</v>
      </c>
      <c r="O121" s="17" t="s">
        <v>615</v>
      </c>
      <c r="P121" s="24"/>
    </row>
    <row r="122" customFormat="false" ht="23.85" hidden="false" customHeight="false" outlineLevel="0" collapsed="false">
      <c r="A122" s="10" t="s">
        <v>616</v>
      </c>
      <c r="B122" s="11" t="s">
        <v>617</v>
      </c>
      <c r="C122" s="12" t="s">
        <v>618</v>
      </c>
      <c r="D122" s="11" t="s">
        <v>25</v>
      </c>
      <c r="E122" s="11"/>
      <c r="F122" s="11"/>
      <c r="G122" s="11"/>
      <c r="H122" s="11"/>
      <c r="I122" s="11"/>
      <c r="J122" s="11"/>
      <c r="K122" s="13" t="n">
        <f aca="false">SUMIFS(K123:K124,M123:M124,"&lt;&gt;Recortada")</f>
        <v>6.5</v>
      </c>
      <c r="L122" s="13" t="n">
        <f aca="false">SUM(L123:L124)</f>
        <v>0</v>
      </c>
      <c r="M122" s="10" t="str">
        <f aca="false">IF(COUNTIF(M123:M124,"Recortada")=COUNTA(M123:M124),"Recortada",IF(COUNTIF(M123:M124,"Hecha")+COUNTIF(M123:M124,"Recortada")=COUNTA(M123:M124),"Hecha",IF(COUNTIF(M123:M124,"Bloqueada")&gt;0,"Bloqueada",IF(COUNTIF(M123:M124,"En curso")+COUNTIF(M123:M124,"Hecha")&gt;0,"En curso","Pendiente"))))</f>
        <v>Pendiente</v>
      </c>
      <c r="N122" s="14" t="n">
        <f aca="false">IFERROR(SUMPRODUCT((M123:M124&lt;&gt;"Recortada")*K123:K124*N123:N124)/K122,0)</f>
        <v>0</v>
      </c>
      <c r="O122" s="11"/>
      <c r="P122" s="11"/>
    </row>
    <row r="123" customFormat="false" ht="23.85" hidden="false" customHeight="false" outlineLevel="1" collapsed="false">
      <c r="A123" s="15" t="s">
        <v>619</v>
      </c>
      <c r="B123" s="16" t="s">
        <v>620</v>
      </c>
      <c r="C123" s="17" t="s">
        <v>621</v>
      </c>
      <c r="D123" s="18" t="s">
        <v>25</v>
      </c>
      <c r="E123" s="19"/>
      <c r="F123" s="17" t="s">
        <v>622</v>
      </c>
      <c r="G123" s="20" t="s">
        <v>623</v>
      </c>
      <c r="H123" s="20" t="s">
        <v>624</v>
      </c>
      <c r="I123" s="15" t="s">
        <v>402</v>
      </c>
      <c r="J123" s="20" t="s">
        <v>68</v>
      </c>
      <c r="K123" s="21" t="n">
        <v>3</v>
      </c>
      <c r="L123" s="22"/>
      <c r="M123" s="19" t="s">
        <v>34</v>
      </c>
      <c r="N123" s="23" t="n">
        <f aca="false">IF(M123="Hecha",1,IF(M123="En curso",0.5,0))</f>
        <v>0</v>
      </c>
      <c r="O123" s="17" t="s">
        <v>625</v>
      </c>
      <c r="P123" s="24"/>
    </row>
    <row r="124" customFormat="false" ht="23.85" hidden="false" customHeight="false" outlineLevel="1" collapsed="false">
      <c r="A124" s="15" t="s">
        <v>626</v>
      </c>
      <c r="B124" s="16" t="s">
        <v>627</v>
      </c>
      <c r="C124" s="17" t="s">
        <v>628</v>
      </c>
      <c r="D124" s="18" t="s">
        <v>25</v>
      </c>
      <c r="E124" s="19"/>
      <c r="F124" s="17" t="s">
        <v>629</v>
      </c>
      <c r="G124" s="20" t="s">
        <v>623</v>
      </c>
      <c r="H124" s="20" t="s">
        <v>624</v>
      </c>
      <c r="I124" s="15" t="s">
        <v>197</v>
      </c>
      <c r="J124" s="20" t="s">
        <v>68</v>
      </c>
      <c r="K124" s="21" t="n">
        <v>3.5</v>
      </c>
      <c r="L124" s="22"/>
      <c r="M124" s="19" t="s">
        <v>34</v>
      </c>
      <c r="N124" s="23" t="n">
        <f aca="false">IF(M124="Hecha",1,IF(M124="En curso",0.5,0))</f>
        <v>0</v>
      </c>
      <c r="O124" s="17" t="s">
        <v>630</v>
      </c>
      <c r="P124" s="24"/>
    </row>
  </sheetData>
  <autoFilter ref="A6:P124"/>
  <conditionalFormatting sqref="A7:P124">
    <cfRule type="expression" priority="2" aboveAverage="0" equalAverage="0" bottom="0" percent="0" rank="0" text="" dxfId="10">
      <formula>$M7="Recortada"</formula>
    </cfRule>
  </conditionalFormatting>
  <conditionalFormatting sqref="M7:M124">
    <cfRule type="expression" priority="3" aboveAverage="0" equalAverage="0" bottom="0" percent="0" rank="0" text="" dxfId="11">
      <formula>$M7="Hecha"</formula>
    </cfRule>
    <cfRule type="expression" priority="4" aboveAverage="0" equalAverage="0" bottom="0" percent="0" rank="0" text="" dxfId="12">
      <formula>$M7="En curso"</formula>
    </cfRule>
    <cfRule type="expression" priority="5" aboveAverage="0" equalAverage="0" bottom="0" percent="0" rank="0" text="" dxfId="13">
      <formula>$M7="Bloqueada"</formula>
    </cfRule>
  </conditionalFormatting>
  <conditionalFormatting sqref="H7:H124">
    <cfRule type="expression" priority="6" aboveAverage="0" equalAverage="0" bottom="0" percent="0" rank="0" text="" dxfId="14">
      <formula>LEFT($H7,1)="1"</formula>
    </cfRule>
    <cfRule type="expression" priority="7" aboveAverage="0" equalAverage="0" bottom="0" percent="0" rank="0" text="" dxfId="15">
      <formula>LEFT($H7,1)="2"</formula>
    </cfRule>
    <cfRule type="expression" priority="8" aboveAverage="0" equalAverage="0" bottom="0" percent="0" rank="0" text="" dxfId="16">
      <formula>LEFT($H7,1)="3"</formula>
    </cfRule>
    <cfRule type="expression" priority="9" aboveAverage="0" equalAverage="0" bottom="0" percent="0" rank="0" text="" dxfId="17">
      <formula>LEFT($H7,1)="4"</formula>
    </cfRule>
  </conditionalFormatting>
  <dataValidations count="8">
    <dataValidation allowBlank="true" error="Elija Breiner o Andres de la lista." errorStyle="stop" errorTitle="Responsable" operator="between" showDropDown="false" showErrorMessage="true" showInputMessage="false" sqref="E8:E14 E16:E29 E31:E34 E36:E40 E42:E50 E52:E54 E56:E61 E63:E75 E77:E86 E88:E92 E94:E96 E98:E103 E105:E111 E113:E121 E123:E124" type="list">
      <formula1>Listas!$A$2:$A$3</formula1>
      <formula2>0</formula2>
    </dataValidation>
    <dataValidation allowBlank="false" error="Elija un frente de la lista." errorStyle="stop" errorTitle="Frente" operator="between" showDropDown="false" showErrorMessage="true" showInputMessage="false" sqref="D8:D14 D16:D29 D31:D34 D36:D40 D42:D50 D52:D54 D56:D61 D63:D75 D77:D86 D88:D92 D94:D96 D98:D103 D105:D111 D113:D121 D123:D124" type="list">
      <formula1>Listas!$B$2:$B$4</formula1>
      <formula2>0</formula2>
    </dataValidation>
    <dataValidation allowBlank="false" error="Elija M2-N, M2-S u Opc." errorStyle="stop" errorTitle="Hito" operator="between" showDropDown="false" showErrorMessage="true" showInputMessage="false" sqref="G8:G14 G16:G29 G31:G34 G36:G40 G42:G50 G52:G54 G56:G61 G63:G75 G77:G86 G88:G92 G94:G96 G98:G103 G105:G111 G113:G121 G123:G124" type="list">
      <formula1>Listas!$C$2:$C$4</formula1>
      <formula2>0</formula2>
    </dataValidation>
    <dataValidation allowBlank="false" error="Elija una prioridad de la lista." errorStyle="stop" errorTitle="Prioridad" operator="between" showDropDown="false" showErrorMessage="true" showInputMessage="false" sqref="H8:H14 H16:H29 H31:H34 H36:H40 H42:H50 H52:H54 H56:H61 H63:H75 H77:H86 H88:H92 H94:H96 H98:H103 H105:H111 H113:H121 H123:H124" type="list">
      <formula1>Listas!$D$2:$D$5</formula1>
      <formula2>0</formula2>
    </dataValidation>
    <dataValidation allowBlank="false" error="Elija un día de la lista." errorStyle="stop" errorTitle="Día" operator="between" showDropDown="false" showErrorMessage="true" showInputMessage="false" sqref="J8:J14 J16:J29 J31:J34 J36:J40 J42:J50 J52:J54 J56:J61 J63:J75 J77:J86 J88:J92 J94:J96 J98:J103 J105:J111 J113:J121 J123:J124" type="list">
      <formula1>Listas!$F$2:$F$5</formula1>
      <formula2>0</formula2>
    </dataValidation>
    <dataValidation allowBlank="false" error="Elija un estado de la lista." errorStyle="stop" errorTitle="Estado" operator="between" showDropDown="false" showErrorMessage="true" showInputMessage="false" sqref="M8:M14 M16:M29 M31:M34 M36:M40 M42:M50 M52:M54 M56:M61 M63:M75 M77:M86 M88:M92 M94:M96 M98:M103 M105:M111 M113:M121 M123:M124" type="list">
      <formula1>Listas!$E$2:$E$6</formula1>
      <formula2>0</formula2>
    </dataValidation>
    <dataValidation allowBlank="false" error="Las tareas no pasan de medio día (4 h). Si pasa, divida la tarea." errorStyle="stop" errorTitle="Horas" operator="between" showDropDown="false" showErrorMessage="true" showInputMessage="false" sqref="K8:K14 K16:K29 K31:K34 K36:K40 K42:K50 K52:K54 K56:K61 K63:K75 K77:K86 K88:K92 K94:K96 K98:K103 K105:K111 K113:K121 K123:K124" type="decimal">
      <formula1>0</formula1>
      <formula2>4</formula2>
    </dataValidation>
    <dataValidation allowBlank="true" error="Escriba un número de horas, por ejemplo 1.5" errorStyle="stop" errorTitle="Horas reales" operator="greaterThanOrEqual" showDropDown="false" showErrorMessage="true" showInputMessage="false" sqref="L8:L14 L16:L29 L31:L34 L36:L40 L42:L50 L52:L54 L56:L61 L63:L75 L77:L86 L88:L92 L94:L96 L98:L103 L105:L111 L113:L121 L123:L1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10" min="5" style="0" width="13"/>
    <col collapsed="false" customWidth="true" hidden="false" outlineLevel="0" max="13" min="11" style="0" width="17"/>
  </cols>
  <sheetData>
    <row r="1" customFormat="false" ht="25.5" hidden="false" customHeight="true" outlineLevel="0" collapsed="false">
      <c r="A1" s="1" t="s">
        <v>631</v>
      </c>
    </row>
    <row r="2" customFormat="false" ht="15" hidden="false" customHeight="false" outlineLevel="0" collapsed="false">
      <c r="A2" s="2" t="s">
        <v>632</v>
      </c>
    </row>
    <row r="3" customFormat="false" ht="15" hidden="false" customHeight="false" outlineLevel="0" collapsed="false">
      <c r="A3" s="25" t="s">
        <v>633</v>
      </c>
      <c r="C3" s="26" t="n">
        <v>2</v>
      </c>
      <c r="D3" s="2" t="s">
        <v>634</v>
      </c>
    </row>
    <row r="5" customFormat="false" ht="15" hidden="false" customHeight="false" outlineLevel="0" collapsed="false">
      <c r="A5" s="27" t="s">
        <v>635</v>
      </c>
    </row>
    <row r="6" customFormat="false" ht="43.5" hidden="false" customHeight="true" outlineLevel="0" collapsed="false">
      <c r="A6" s="9" t="s">
        <v>15</v>
      </c>
      <c r="B6" s="9" t="s">
        <v>636</v>
      </c>
      <c r="C6" s="9" t="s">
        <v>637</v>
      </c>
      <c r="D6" s="9" t="s">
        <v>638</v>
      </c>
      <c r="E6" s="9" t="s">
        <v>639</v>
      </c>
      <c r="F6" s="9" t="s">
        <v>640</v>
      </c>
      <c r="G6" s="9" t="s">
        <v>18</v>
      </c>
      <c r="H6" s="9" t="str">
        <f aca="false">Listas!A2</f>
        <v>Breiner</v>
      </c>
      <c r="I6" s="9" t="str">
        <f aca="false">Listas!A3</f>
        <v>Andres</v>
      </c>
      <c r="J6" s="9" t="s">
        <v>641</v>
      </c>
      <c r="K6" s="9" t="str">
        <f aca="false">Listas!B2</f>
        <v>A · Plataforma y datos</v>
      </c>
      <c r="L6" s="9" t="str">
        <f aca="false">Listas!B3</f>
        <v>B · Agente e informe</v>
      </c>
      <c r="M6" s="9" t="str">
        <f aca="false">Listas!B4</f>
        <v>AB · Compartida</v>
      </c>
    </row>
    <row r="7" customFormat="false" ht="23.85" hidden="false" customHeight="false" outlineLevel="0" collapsed="false">
      <c r="A7" s="28" t="str">
        <f aca="false">Listas!F2</f>
        <v>Mié 28</v>
      </c>
      <c r="B7" s="29" t="s">
        <v>642</v>
      </c>
      <c r="C7" s="30" t="n">
        <v>10</v>
      </c>
      <c r="D7" s="31" t="n">
        <f aca="false">C7*$C$3</f>
        <v>20</v>
      </c>
      <c r="E7" s="31" t="n">
        <f aca="false">SUMIFS(EDT!$K$7:$K$124,EDT!$J$7:$J$124,$A7,EDT!$M$7:$M$124,"&lt;&gt;Recortada")</f>
        <v>77.5</v>
      </c>
      <c r="F7" s="23" t="n">
        <f aca="false">IFERROR(E7/D7,0)</f>
        <v>3.875</v>
      </c>
      <c r="G7" s="15" t="str">
        <f aca="false">IF(E7&gt;D7,"Sobrecarga","OK")</f>
        <v>Sobrecarga</v>
      </c>
      <c r="H7" s="31" t="n">
        <f aca="false">SUMIFS(EDT!$K$7:$K$124,EDT!$J$7:$J$124,$A7,EDT!$E$7:$E$124,Listas!$A$2,EDT!$M$7:$M$124,"&lt;&gt;Recortada")</f>
        <v>0</v>
      </c>
      <c r="I7" s="31" t="n">
        <f aca="false">SUMIFS(EDT!$K$7:$K$124,EDT!$J$7:$J$124,$A7,EDT!$E$7:$E$124,Listas!$A$3,EDT!$M$7:$M$124,"&lt;&gt;Recortada")</f>
        <v>0</v>
      </c>
      <c r="J7" s="31" t="n">
        <f aca="false">E7-H7-I7</f>
        <v>77.5</v>
      </c>
      <c r="K7" s="31" t="n">
        <f aca="false">SUMIFS(EDT!$K$7:$K$124,EDT!$J$7:$J$124,$A7,EDT!$D$7:$D$124,Listas!$B$2,EDT!$M$7:$M$124,"&lt;&gt;Recortada")</f>
        <v>41</v>
      </c>
      <c r="L7" s="31" t="n">
        <f aca="false">SUMIFS(EDT!$K$7:$K$124,EDT!$J$7:$J$124,$A7,EDT!$D$7:$D$124,Listas!$B$3,EDT!$M$7:$M$124,"&lt;&gt;Recortada")</f>
        <v>32.5</v>
      </c>
      <c r="M7" s="31" t="n">
        <f aca="false">SUMIFS(EDT!$K$7:$K$124,EDT!$J$7:$J$124,$A7,EDT!$D$7:$D$124,Listas!$B$4,EDT!$M$7:$M$124,"&lt;&gt;Recortada")</f>
        <v>4</v>
      </c>
    </row>
    <row r="8" customFormat="false" ht="35.05" hidden="false" customHeight="false" outlineLevel="0" collapsed="false">
      <c r="A8" s="28" t="str">
        <f aca="false">Listas!F3</f>
        <v>Jue 29</v>
      </c>
      <c r="B8" s="29" t="s">
        <v>643</v>
      </c>
      <c r="C8" s="30" t="n">
        <v>12</v>
      </c>
      <c r="D8" s="31" t="n">
        <f aca="false">C8*$C$3</f>
        <v>24</v>
      </c>
      <c r="E8" s="31" t="n">
        <f aca="false">SUMIFS(EDT!$K$7:$K$124,EDT!$J$7:$J$124,$A8,EDT!$M$7:$M$124,"&lt;&gt;Recortada")</f>
        <v>101.5</v>
      </c>
      <c r="F8" s="23" t="n">
        <f aca="false">IFERROR(E8/D8,0)</f>
        <v>4.22916666666667</v>
      </c>
      <c r="G8" s="15" t="str">
        <f aca="false">IF(E8&gt;D8,"Sobrecarga","OK")</f>
        <v>Sobrecarga</v>
      </c>
      <c r="H8" s="31" t="n">
        <f aca="false">SUMIFS(EDT!$K$7:$K$124,EDT!$J$7:$J$124,$A8,EDT!$E$7:$E$124,Listas!$A$2,EDT!$M$7:$M$124,"&lt;&gt;Recortada")</f>
        <v>0</v>
      </c>
      <c r="I8" s="31" t="n">
        <f aca="false">SUMIFS(EDT!$K$7:$K$124,EDT!$J$7:$J$124,$A8,EDT!$E$7:$E$124,Listas!$A$3,EDT!$M$7:$M$124,"&lt;&gt;Recortada")</f>
        <v>0</v>
      </c>
      <c r="J8" s="31" t="n">
        <f aca="false">E8-H8-I8</f>
        <v>101.5</v>
      </c>
      <c r="K8" s="31" t="n">
        <f aca="false">SUMIFS(EDT!$K$7:$K$124,EDT!$J$7:$J$124,$A8,EDT!$D$7:$D$124,Listas!$B$2,EDT!$M$7:$M$124,"&lt;&gt;Recortada")</f>
        <v>49</v>
      </c>
      <c r="L8" s="31" t="n">
        <f aca="false">SUMIFS(EDT!$K$7:$K$124,EDT!$J$7:$J$124,$A8,EDT!$D$7:$D$124,Listas!$B$3,EDT!$M$7:$M$124,"&lt;&gt;Recortada")</f>
        <v>27</v>
      </c>
      <c r="M8" s="31" t="n">
        <f aca="false">SUMIFS(EDT!$K$7:$K$124,EDT!$J$7:$J$124,$A8,EDT!$D$7:$D$124,Listas!$B$4,EDT!$M$7:$M$124,"&lt;&gt;Recortada")</f>
        <v>25.5</v>
      </c>
    </row>
    <row r="9" customFormat="false" ht="23.85" hidden="false" customHeight="false" outlineLevel="0" collapsed="false">
      <c r="A9" s="28" t="str">
        <f aca="false">Listas!F4</f>
        <v>Vie 30</v>
      </c>
      <c r="B9" s="29" t="s">
        <v>644</v>
      </c>
      <c r="C9" s="30" t="n">
        <v>6</v>
      </c>
      <c r="D9" s="31" t="n">
        <f aca="false">C9*$C$3</f>
        <v>12</v>
      </c>
      <c r="E9" s="31" t="n">
        <f aca="false">SUMIFS(EDT!$K$7:$K$124,EDT!$J$7:$J$124,$A9,EDT!$M$7:$M$124,"&lt;&gt;Recortada")</f>
        <v>4</v>
      </c>
      <c r="F9" s="23" t="n">
        <f aca="false">IFERROR(E9/D9,0)</f>
        <v>0.333333333333333</v>
      </c>
      <c r="G9" s="15" t="str">
        <f aca="false">IF(E9&gt;D9,"Sobrecarga","OK")</f>
        <v>OK</v>
      </c>
      <c r="H9" s="31" t="n">
        <f aca="false">SUMIFS(EDT!$K$7:$K$124,EDT!$J$7:$J$124,$A9,EDT!$E$7:$E$124,Listas!$A$2,EDT!$M$7:$M$124,"&lt;&gt;Recortada")</f>
        <v>0</v>
      </c>
      <c r="I9" s="31" t="n">
        <f aca="false">SUMIFS(EDT!$K$7:$K$124,EDT!$J$7:$J$124,$A9,EDT!$E$7:$E$124,Listas!$A$3,EDT!$M$7:$M$124,"&lt;&gt;Recortada")</f>
        <v>0</v>
      </c>
      <c r="J9" s="31" t="n">
        <f aca="false">E9-H9-I9</f>
        <v>4</v>
      </c>
      <c r="K9" s="31" t="n">
        <f aca="false">SUMIFS(EDT!$K$7:$K$124,EDT!$J$7:$J$124,$A9,EDT!$D$7:$D$124,Listas!$B$2,EDT!$M$7:$M$124,"&lt;&gt;Recortada")</f>
        <v>0</v>
      </c>
      <c r="L9" s="31" t="n">
        <f aca="false">SUMIFS(EDT!$K$7:$K$124,EDT!$J$7:$J$124,$A9,EDT!$D$7:$D$124,Listas!$B$3,EDT!$M$7:$M$124,"&lt;&gt;Recortada")</f>
        <v>0</v>
      </c>
      <c r="M9" s="31" t="n">
        <f aca="false">SUMIFS(EDT!$K$7:$K$124,EDT!$J$7:$J$124,$A9,EDT!$D$7:$D$124,Listas!$B$4,EDT!$M$7:$M$124,"&lt;&gt;Recortada")</f>
        <v>4</v>
      </c>
    </row>
    <row r="10" customFormat="false" ht="15" hidden="false" customHeight="false" outlineLevel="0" collapsed="false">
      <c r="A10" s="28" t="str">
        <f aca="false">Listas!F5</f>
        <v>Sáb 31</v>
      </c>
      <c r="B10" s="29" t="s">
        <v>645</v>
      </c>
      <c r="C10" s="30" t="n">
        <v>4</v>
      </c>
      <c r="D10" s="31" t="n">
        <f aca="false">C10*$C$3</f>
        <v>8</v>
      </c>
      <c r="E10" s="31" t="n">
        <f aca="false">SUMIFS(EDT!$K$7:$K$124,EDT!$J$7:$J$124,$A10,EDT!$M$7:$M$124,"&lt;&gt;Recortada")</f>
        <v>2</v>
      </c>
      <c r="F10" s="23" t="n">
        <f aca="false">IFERROR(E10/D10,0)</f>
        <v>0.25</v>
      </c>
      <c r="G10" s="15" t="str">
        <f aca="false">IF(E10&gt;D10,"Sobrecarga","OK")</f>
        <v>OK</v>
      </c>
      <c r="H10" s="31" t="n">
        <f aca="false">SUMIFS(EDT!$K$7:$K$124,EDT!$J$7:$J$124,$A10,EDT!$E$7:$E$124,Listas!$A$2,EDT!$M$7:$M$124,"&lt;&gt;Recortada")</f>
        <v>0</v>
      </c>
      <c r="I10" s="31" t="n">
        <f aca="false">SUMIFS(EDT!$K$7:$K$124,EDT!$J$7:$J$124,$A10,EDT!$E$7:$E$124,Listas!$A$3,EDT!$M$7:$M$124,"&lt;&gt;Recortada")</f>
        <v>0</v>
      </c>
      <c r="J10" s="31" t="n">
        <f aca="false">E10-H10-I10</f>
        <v>2</v>
      </c>
      <c r="K10" s="31" t="n">
        <f aca="false">SUMIFS(EDT!$K$7:$K$124,EDT!$J$7:$J$124,$A10,EDT!$D$7:$D$124,Listas!$B$2,EDT!$M$7:$M$124,"&lt;&gt;Recortada")</f>
        <v>0</v>
      </c>
      <c r="L10" s="31" t="n">
        <f aca="false">SUMIFS(EDT!$K$7:$K$124,EDT!$J$7:$J$124,$A10,EDT!$D$7:$D$124,Listas!$B$3,EDT!$M$7:$M$124,"&lt;&gt;Recortada")</f>
        <v>0</v>
      </c>
      <c r="M10" s="31" t="n">
        <f aca="false">SUMIFS(EDT!$K$7:$K$124,EDT!$J$7:$J$124,$A10,EDT!$D$7:$D$124,Listas!$B$4,EDT!$M$7:$M$124,"&lt;&gt;Recortada")</f>
        <v>2</v>
      </c>
    </row>
    <row r="11" customFormat="false" ht="15" hidden="false" customHeight="false" outlineLevel="0" collapsed="false">
      <c r="A11" s="32" t="s">
        <v>646</v>
      </c>
      <c r="B11" s="33"/>
      <c r="C11" s="4"/>
      <c r="D11" s="4" t="n">
        <f aca="false">SUM(D7:D10)</f>
        <v>64</v>
      </c>
      <c r="E11" s="4" t="n">
        <f aca="false">SUM(E7:E10)</f>
        <v>185</v>
      </c>
      <c r="F11" s="5" t="n">
        <f aca="false">IFERROR(E11/D11,0)</f>
        <v>2.890625</v>
      </c>
      <c r="G11" s="33" t="str">
        <f aca="false">IF(E11&gt;D11,"Sobrecarga","OK")</f>
        <v>Sobrecarga</v>
      </c>
      <c r="H11" s="4" t="n">
        <f aca="false">SUM(H7:H10)</f>
        <v>0</v>
      </c>
      <c r="I11" s="4" t="n">
        <f aca="false">SUM(I7:I10)</f>
        <v>0</v>
      </c>
      <c r="J11" s="4" t="n">
        <f aca="false">SUM(J7:J10)</f>
        <v>185</v>
      </c>
      <c r="K11" s="4" t="n">
        <f aca="false">SUM(K7:K10)</f>
        <v>90</v>
      </c>
      <c r="L11" s="4" t="n">
        <f aca="false">SUM(L7:L10)</f>
        <v>59.5</v>
      </c>
      <c r="M11" s="4" t="n">
        <f aca="false">SUM(M7:M10)</f>
        <v>35.5</v>
      </c>
    </row>
    <row r="12" customFormat="false" ht="15" hidden="false" customHeight="false" outlineLevel="0" collapsed="false">
      <c r="A12" s="25" t="s">
        <v>647</v>
      </c>
      <c r="E12" s="34" t="n">
        <f aca="false">SUMPRODUCT((E7:E10&gt;D7:D10)*(E7:E10-D7:D10))</f>
        <v>135</v>
      </c>
    </row>
    <row r="14" customFormat="false" ht="15" hidden="false" customHeight="false" outlineLevel="0" collapsed="false">
      <c r="A14" s="27" t="s">
        <v>648</v>
      </c>
    </row>
    <row r="15" customFormat="false" ht="33.75" hidden="false" customHeight="true" outlineLevel="0" collapsed="false">
      <c r="A15" s="9" t="s">
        <v>13</v>
      </c>
      <c r="B15" s="9" t="s">
        <v>649</v>
      </c>
      <c r="C15" s="9" t="s">
        <v>650</v>
      </c>
      <c r="D15" s="9" t="s">
        <v>651</v>
      </c>
      <c r="E15" s="9" t="s">
        <v>652</v>
      </c>
      <c r="F15" s="9" t="s">
        <v>653</v>
      </c>
      <c r="G15" s="9" t="s">
        <v>654</v>
      </c>
    </row>
    <row r="16" customFormat="false" ht="23.85" hidden="false" customHeight="false" outlineLevel="0" collapsed="false">
      <c r="A16" s="28" t="str">
        <f aca="false">Listas!D2</f>
        <v>1 · Imprescindible</v>
      </c>
      <c r="B16" s="29" t="s">
        <v>655</v>
      </c>
      <c r="C16" s="31" t="n">
        <f aca="false">SUMIFS(EDT!$K$7:$K$124,EDT!$H$7:$H$124,$A16,EDT!$J$7:$J$124,$A$7,EDT!$M$7:$M$124,"&lt;&gt;Recortada")+SUMIFS(EDT!$K$7:$K$124,EDT!$H$7:$H$124,$A16,EDT!$J$7:$J$124,$A$8,EDT!$M$7:$M$124,"&lt;&gt;Recortada")</f>
        <v>115</v>
      </c>
      <c r="D16" s="31" t="n">
        <f aca="false">SUM($C$16:C16)</f>
        <v>115</v>
      </c>
      <c r="E16" s="31" t="n">
        <f aca="false">$D$7+$D$8</f>
        <v>44</v>
      </c>
      <c r="F16" s="15" t="str">
        <f aca="false">IF(D16&lt;=E16,"Cabe","No cabe")</f>
        <v>No cabe</v>
      </c>
      <c r="G16" s="31" t="n">
        <f aca="false">E16-D16</f>
        <v>-71</v>
      </c>
    </row>
    <row r="17" customFormat="false" ht="15" hidden="false" customHeight="false" outlineLevel="0" collapsed="false">
      <c r="A17" s="28" t="str">
        <f aca="false">Listas!D3</f>
        <v>2 · Núcleo</v>
      </c>
      <c r="B17" s="29" t="s">
        <v>656</v>
      </c>
      <c r="C17" s="31" t="n">
        <f aca="false">SUMIFS(EDT!$K$7:$K$124,EDT!$H$7:$H$124,$A17,EDT!$J$7:$J$124,$A$7,EDT!$M$7:$M$124,"&lt;&gt;Recortada")+SUMIFS(EDT!$K$7:$K$124,EDT!$H$7:$H$124,$A17,EDT!$J$7:$J$124,$A$8,EDT!$M$7:$M$124,"&lt;&gt;Recortada")</f>
        <v>44.5</v>
      </c>
      <c r="D17" s="31" t="n">
        <f aca="false">SUM($C$16:C17)</f>
        <v>159.5</v>
      </c>
      <c r="E17" s="31" t="n">
        <f aca="false">$D$7+$D$8</f>
        <v>44</v>
      </c>
      <c r="F17" s="15" t="str">
        <f aca="false">IF(D17&lt;=E17,"Cabe","No cabe")</f>
        <v>No cabe</v>
      </c>
      <c r="G17" s="31" t="n">
        <f aca="false">E17-D17</f>
        <v>-115.5</v>
      </c>
    </row>
    <row r="18" customFormat="false" ht="15" hidden="false" customHeight="false" outlineLevel="0" collapsed="false">
      <c r="A18" s="28" t="str">
        <f aca="false">Listas!D4</f>
        <v>3 · Si hay tiempo</v>
      </c>
      <c r="B18" s="29" t="s">
        <v>657</v>
      </c>
      <c r="C18" s="31" t="n">
        <f aca="false">SUMIFS(EDT!$K$7:$K$124,EDT!$H$7:$H$124,$A18,EDT!$J$7:$J$124,$A$7,EDT!$M$7:$M$124,"&lt;&gt;Recortada")+SUMIFS(EDT!$K$7:$K$124,EDT!$H$7:$H$124,$A18,EDT!$J$7:$J$124,$A$8,EDT!$M$7:$M$124,"&lt;&gt;Recortada")</f>
        <v>13</v>
      </c>
      <c r="D18" s="31" t="n">
        <f aca="false">SUM($C$16:C18)</f>
        <v>172.5</v>
      </c>
      <c r="E18" s="31" t="n">
        <f aca="false">$D$7+$D$8</f>
        <v>44</v>
      </c>
      <c r="F18" s="15" t="str">
        <f aca="false">IF(D18&lt;=E18,"Cabe","No cabe")</f>
        <v>No cabe</v>
      </c>
      <c r="G18" s="31" t="n">
        <f aca="false">E18-D18</f>
        <v>-128.5</v>
      </c>
    </row>
    <row r="19" customFormat="false" ht="15" hidden="false" customHeight="false" outlineLevel="0" collapsed="false">
      <c r="A19" s="28" t="str">
        <f aca="false">Listas!D5</f>
        <v>4 · Opcional</v>
      </c>
      <c r="B19" s="29" t="s">
        <v>658</v>
      </c>
      <c r="C19" s="31" t="n">
        <f aca="false">SUMIFS(EDT!$K$7:$K$124,EDT!$H$7:$H$124,$A19,EDT!$J$7:$J$124,$A$7,EDT!$M$7:$M$124,"&lt;&gt;Recortada")+SUMIFS(EDT!$K$7:$K$124,EDT!$H$7:$H$124,$A19,EDT!$J$7:$J$124,$A$8,EDT!$M$7:$M$124,"&lt;&gt;Recortada")</f>
        <v>6.5</v>
      </c>
      <c r="D19" s="31" t="n">
        <f aca="false">SUM($C$16:C19)</f>
        <v>179</v>
      </c>
      <c r="E19" s="31" t="n">
        <f aca="false">$D$7+$D$8</f>
        <v>44</v>
      </c>
      <c r="F19" s="15" t="str">
        <f aca="false">IF(D19&lt;=E19,"Cabe","No cabe")</f>
        <v>No cabe</v>
      </c>
      <c r="G19" s="31" t="n">
        <f aca="false">E19-D19</f>
        <v>-135</v>
      </c>
    </row>
    <row r="20" customFormat="false" ht="15" hidden="false" customHeight="false" outlineLevel="0" collapsed="false">
      <c r="A20" s="2" t="s">
        <v>659</v>
      </c>
    </row>
    <row r="22" customFormat="false" ht="15" hidden="false" customHeight="false" outlineLevel="0" collapsed="false">
      <c r="A22" s="27" t="s">
        <v>660</v>
      </c>
    </row>
    <row r="23" customFormat="false" ht="24" hidden="false" customHeight="true" outlineLevel="0" collapsed="false">
      <c r="A23" s="9" t="s">
        <v>6</v>
      </c>
      <c r="B23" s="9" t="s">
        <v>7</v>
      </c>
      <c r="C23" s="9" t="s">
        <v>10</v>
      </c>
      <c r="D23" s="9" t="s">
        <v>13</v>
      </c>
      <c r="E23" s="9" t="str">
        <f aca="false">Listas!F2</f>
        <v>Mié 28</v>
      </c>
      <c r="F23" s="9" t="str">
        <f aca="false">Listas!F3</f>
        <v>Jue 29</v>
      </c>
      <c r="G23" s="9" t="str">
        <f aca="false">Listas!F4</f>
        <v>Vie 30</v>
      </c>
      <c r="H23" s="9" t="str">
        <f aca="false">Listas!F5</f>
        <v>Sáb 31</v>
      </c>
      <c r="I23" s="9" t="s">
        <v>18</v>
      </c>
    </row>
    <row r="24" customFormat="false" ht="15" hidden="false" customHeight="false" outlineLevel="0" collapsed="false">
      <c r="A24" s="35" t="str">
        <f aca="false">EDT!A8</f>
        <v>1.1</v>
      </c>
      <c r="B24" s="29" t="str">
        <f aca="false">EDT!B8</f>
        <v>Quitar la exigencia de JWT_SECRET en el Momento 2</v>
      </c>
      <c r="C24" s="35" t="str">
        <f aca="false">IF(EDT!E8="","",EDT!E8)</f>
        <v/>
      </c>
      <c r="D24" s="35" t="str">
        <f aca="false">EDT!H8</f>
        <v>1 · Imprescindible</v>
      </c>
      <c r="E24" s="36" t="n">
        <f aca="false">IF(AND(EDT!$J8=E$23,EDT!$M8&lt;&gt;"Recortada"),EDT!$K8,"")</f>
        <v>1</v>
      </c>
      <c r="F24" s="36" t="str">
        <f aca="false">IF(AND(EDT!$J8=F$23,EDT!$M8&lt;&gt;"Recortada"),EDT!$K8,"")</f>
        <v/>
      </c>
      <c r="G24" s="36" t="str">
        <f aca="false">IF(AND(EDT!$J8=G$23,EDT!$M8&lt;&gt;"Recortada"),EDT!$K8,"")</f>
        <v/>
      </c>
      <c r="H24" s="36" t="str">
        <f aca="false">IF(AND(EDT!$J8=H$23,EDT!$M8&lt;&gt;"Recortada"),EDT!$K8,"")</f>
        <v/>
      </c>
      <c r="I24" s="35" t="str">
        <f aca="false">EDT!M8</f>
        <v>Pendiente</v>
      </c>
    </row>
    <row r="25" customFormat="false" ht="15" hidden="false" customHeight="false" outlineLevel="0" collapsed="false">
      <c r="A25" s="35" t="str">
        <f aca="false">EDT!A9</f>
        <v>1.2</v>
      </c>
      <c r="B25" s="29" t="str">
        <f aca="false">EDT!B9</f>
        <v>Dockerfile del backend con CMD</v>
      </c>
      <c r="C25" s="35" t="str">
        <f aca="false">IF(EDT!E9="","",EDT!E9)</f>
        <v/>
      </c>
      <c r="D25" s="35" t="str">
        <f aca="false">EDT!H9</f>
        <v>1 · Imprescindible</v>
      </c>
      <c r="E25" s="36" t="n">
        <f aca="false">IF(AND(EDT!$J9=E$23,EDT!$M9&lt;&gt;"Recortada"),EDT!$K9,"")</f>
        <v>1</v>
      </c>
      <c r="F25" s="36" t="str">
        <f aca="false">IF(AND(EDT!$J9=F$23,EDT!$M9&lt;&gt;"Recortada"),EDT!$K9,"")</f>
        <v/>
      </c>
      <c r="G25" s="36" t="str">
        <f aca="false">IF(AND(EDT!$J9=G$23,EDT!$M9&lt;&gt;"Recortada"),EDT!$K9,"")</f>
        <v/>
      </c>
      <c r="H25" s="36" t="str">
        <f aca="false">IF(AND(EDT!$J9=H$23,EDT!$M9&lt;&gt;"Recortada"),EDT!$K9,"")</f>
        <v/>
      </c>
      <c r="I25" s="35" t="str">
        <f aca="false">EDT!M9</f>
        <v>Pendiente</v>
      </c>
    </row>
    <row r="26" customFormat="false" ht="15" hidden="false" customHeight="false" outlineLevel="0" collapsed="false">
      <c r="A26" s="35" t="str">
        <f aca="false">EDT!A10</f>
        <v>1.3</v>
      </c>
      <c r="B26" s="29" t="str">
        <f aca="false">EDT!B10</f>
        <v>Dockerfile del frontend multi-etapa</v>
      </c>
      <c r="C26" s="35" t="str">
        <f aca="false">IF(EDT!E10="","",EDT!E10)</f>
        <v/>
      </c>
      <c r="D26" s="35" t="str">
        <f aca="false">EDT!H10</f>
        <v>1 · Imprescindible</v>
      </c>
      <c r="E26" s="36" t="n">
        <f aca="false">IF(AND(EDT!$J10=E$23,EDT!$M10&lt;&gt;"Recortada"),EDT!$K10,"")</f>
        <v>1.5</v>
      </c>
      <c r="F26" s="36" t="str">
        <f aca="false">IF(AND(EDT!$J10=F$23,EDT!$M10&lt;&gt;"Recortada"),EDT!$K10,"")</f>
        <v/>
      </c>
      <c r="G26" s="36" t="str">
        <f aca="false">IF(AND(EDT!$J10=G$23,EDT!$M10&lt;&gt;"Recortada"),EDT!$K10,"")</f>
        <v/>
      </c>
      <c r="H26" s="36" t="str">
        <f aca="false">IF(AND(EDT!$J10=H$23,EDT!$M10&lt;&gt;"Recortada"),EDT!$K10,"")</f>
        <v/>
      </c>
      <c r="I26" s="35" t="str">
        <f aca="false">EDT!M10</f>
        <v>Pendiente</v>
      </c>
    </row>
    <row r="27" customFormat="false" ht="15" hidden="false" customHeight="false" outlineLevel="0" collapsed="false">
      <c r="A27" s="35" t="str">
        <f aca="false">EDT!A11</f>
        <v>1.4</v>
      </c>
      <c r="B27" s="29" t="str">
        <f aca="false">EDT!B11</f>
        <v>docker-compose.yml</v>
      </c>
      <c r="C27" s="35" t="str">
        <f aca="false">IF(EDT!E11="","",EDT!E11)</f>
        <v/>
      </c>
      <c r="D27" s="35" t="str">
        <f aca="false">EDT!H11</f>
        <v>1 · Imprescindible</v>
      </c>
      <c r="E27" s="36" t="n">
        <f aca="false">IF(AND(EDT!$J11=E$23,EDT!$M11&lt;&gt;"Recortada"),EDT!$K11,"")</f>
        <v>2</v>
      </c>
      <c r="F27" s="36" t="str">
        <f aca="false">IF(AND(EDT!$J11=F$23,EDT!$M11&lt;&gt;"Recortada"),EDT!$K11,"")</f>
        <v/>
      </c>
      <c r="G27" s="36" t="str">
        <f aca="false">IF(AND(EDT!$J11=G$23,EDT!$M11&lt;&gt;"Recortada"),EDT!$K11,"")</f>
        <v/>
      </c>
      <c r="H27" s="36" t="str">
        <f aca="false">IF(AND(EDT!$J11=H$23,EDT!$M11&lt;&gt;"Recortada"),EDT!$K11,"")</f>
        <v/>
      </c>
      <c r="I27" s="35" t="str">
        <f aca="false">EDT!M11</f>
        <v>Pendiente</v>
      </c>
    </row>
    <row r="28" customFormat="false" ht="15" hidden="false" customHeight="false" outlineLevel="0" collapsed="false">
      <c r="A28" s="35" t="str">
        <f aca="false">EDT!A12</f>
        <v>1.5</v>
      </c>
      <c r="B28" s="29" t="str">
        <f aca="false">EDT!B12</f>
        <v>.env.example</v>
      </c>
      <c r="C28" s="35" t="str">
        <f aca="false">IF(EDT!E12="","",EDT!E12)</f>
        <v/>
      </c>
      <c r="D28" s="35" t="str">
        <f aca="false">EDT!H12</f>
        <v>1 · Imprescindible</v>
      </c>
      <c r="E28" s="36" t="n">
        <f aca="false">IF(AND(EDT!$J12=E$23,EDT!$M12&lt;&gt;"Recortada"),EDT!$K12,"")</f>
        <v>0.5</v>
      </c>
      <c r="F28" s="36" t="str">
        <f aca="false">IF(AND(EDT!$J12=F$23,EDT!$M12&lt;&gt;"Recortada"),EDT!$K12,"")</f>
        <v/>
      </c>
      <c r="G28" s="36" t="str">
        <f aca="false">IF(AND(EDT!$J12=G$23,EDT!$M12&lt;&gt;"Recortada"),EDT!$K12,"")</f>
        <v/>
      </c>
      <c r="H28" s="36" t="str">
        <f aca="false">IF(AND(EDT!$J12=H$23,EDT!$M12&lt;&gt;"Recortada"),EDT!$K12,"")</f>
        <v/>
      </c>
      <c r="I28" s="35" t="str">
        <f aca="false">EDT!M12</f>
        <v>Pendiente</v>
      </c>
    </row>
    <row r="29" customFormat="false" ht="15" hidden="false" customHeight="false" outlineLevel="0" collapsed="false">
      <c r="A29" s="35" t="str">
        <f aca="false">EDT!A13</f>
        <v>1.6</v>
      </c>
      <c r="B29" s="29" t="str">
        <f aca="false">EDT!B13</f>
        <v>run.sh</v>
      </c>
      <c r="C29" s="35" t="str">
        <f aca="false">IF(EDT!E13="","",EDT!E13)</f>
        <v/>
      </c>
      <c r="D29" s="35" t="str">
        <f aca="false">EDT!H13</f>
        <v>1 · Imprescindible</v>
      </c>
      <c r="E29" s="36" t="n">
        <f aca="false">IF(AND(EDT!$J13=E$23,EDT!$M13&lt;&gt;"Recortada"),EDT!$K13,"")</f>
        <v>2</v>
      </c>
      <c r="F29" s="36" t="str">
        <f aca="false">IF(AND(EDT!$J13=F$23,EDT!$M13&lt;&gt;"Recortada"),EDT!$K13,"")</f>
        <v/>
      </c>
      <c r="G29" s="36" t="str">
        <f aca="false">IF(AND(EDT!$J13=G$23,EDT!$M13&lt;&gt;"Recortada"),EDT!$K13,"")</f>
        <v/>
      </c>
      <c r="H29" s="36" t="str">
        <f aca="false">IF(AND(EDT!$J13=H$23,EDT!$M13&lt;&gt;"Recortada"),EDT!$K13,"")</f>
        <v/>
      </c>
      <c r="I29" s="35" t="str">
        <f aca="false">EDT!M13</f>
        <v>Pendiente</v>
      </c>
    </row>
    <row r="30" customFormat="false" ht="15" hidden="false" customHeight="false" outlineLevel="0" collapsed="false">
      <c r="A30" s="35" t="str">
        <f aca="false">EDT!A14</f>
        <v>1.7</v>
      </c>
      <c r="B30" s="29" t="str">
        <f aca="false">EDT!B14</f>
        <v>Aviso de llave faltante en la app</v>
      </c>
      <c r="C30" s="35" t="str">
        <f aca="false">IF(EDT!E14="","",EDT!E14)</f>
        <v/>
      </c>
      <c r="D30" s="35" t="str">
        <f aca="false">EDT!H14</f>
        <v>1 · Imprescindible</v>
      </c>
      <c r="E30" s="36" t="str">
        <f aca="false">IF(AND(EDT!$J14=E$23,EDT!$M14&lt;&gt;"Recortada"),EDT!$K14,"")</f>
        <v/>
      </c>
      <c r="F30" s="36" t="n">
        <f aca="false">IF(AND(EDT!$J14=F$23,EDT!$M14&lt;&gt;"Recortada"),EDT!$K14,"")</f>
        <v>1.5</v>
      </c>
      <c r="G30" s="36" t="str">
        <f aca="false">IF(AND(EDT!$J14=G$23,EDT!$M14&lt;&gt;"Recortada"),EDT!$K14,"")</f>
        <v/>
      </c>
      <c r="H30" s="36" t="str">
        <f aca="false">IF(AND(EDT!$J14=H$23,EDT!$M14&lt;&gt;"Recortada"),EDT!$K14,"")</f>
        <v/>
      </c>
      <c r="I30" s="35" t="str">
        <f aca="false">EDT!M14</f>
        <v>Pendiente</v>
      </c>
    </row>
    <row r="31" customFormat="false" ht="15" hidden="false" customHeight="false" outlineLevel="0" collapsed="false">
      <c r="A31" s="35" t="str">
        <f aca="false">EDT!A16</f>
        <v>2.1</v>
      </c>
      <c r="B31" s="29" t="str">
        <f aca="false">EDT!B16</f>
        <v>V3: tablas de usuarios y entradas</v>
      </c>
      <c r="C31" s="35" t="str">
        <f aca="false">IF(EDT!E16="","",EDT!E16)</f>
        <v/>
      </c>
      <c r="D31" s="35" t="str">
        <f aca="false">EDT!H16</f>
        <v>1 · Imprescindible</v>
      </c>
      <c r="E31" s="36" t="n">
        <f aca="false">IF(AND(EDT!$J16=E$23,EDT!$M16&lt;&gt;"Recortada"),EDT!$K16,"")</f>
        <v>1.5</v>
      </c>
      <c r="F31" s="36" t="str">
        <f aca="false">IF(AND(EDT!$J16=F$23,EDT!$M16&lt;&gt;"Recortada"),EDT!$K16,"")</f>
        <v/>
      </c>
      <c r="G31" s="36" t="str">
        <f aca="false">IF(AND(EDT!$J16=G$23,EDT!$M16&lt;&gt;"Recortada"),EDT!$K16,"")</f>
        <v/>
      </c>
      <c r="H31" s="36" t="str">
        <f aca="false">IF(AND(EDT!$J16=H$23,EDT!$M16&lt;&gt;"Recortada"),EDT!$K16,"")</f>
        <v/>
      </c>
      <c r="I31" s="35" t="str">
        <f aca="false">EDT!M16</f>
        <v>Pendiente</v>
      </c>
    </row>
    <row r="32" customFormat="false" ht="15" hidden="false" customHeight="false" outlineLevel="0" collapsed="false">
      <c r="A32" s="35" t="str">
        <f aca="false">EDT!A17</f>
        <v>2.2</v>
      </c>
      <c r="B32" s="29" t="str">
        <f aca="false">EDT!B17</f>
        <v>V3: tablas de informes</v>
      </c>
      <c r="C32" s="35" t="str">
        <f aca="false">IF(EDT!E17="","",EDT!E17)</f>
        <v/>
      </c>
      <c r="D32" s="35" t="str">
        <f aca="false">EDT!H17</f>
        <v>1 · Imprescindible</v>
      </c>
      <c r="E32" s="36" t="n">
        <f aca="false">IF(AND(EDT!$J17=E$23,EDT!$M17&lt;&gt;"Recortada"),EDT!$K17,"")</f>
        <v>1.5</v>
      </c>
      <c r="F32" s="36" t="str">
        <f aca="false">IF(AND(EDT!$J17=F$23,EDT!$M17&lt;&gt;"Recortada"),EDT!$K17,"")</f>
        <v/>
      </c>
      <c r="G32" s="36" t="str">
        <f aca="false">IF(AND(EDT!$J17=G$23,EDT!$M17&lt;&gt;"Recortada"),EDT!$K17,"")</f>
        <v/>
      </c>
      <c r="H32" s="36" t="str">
        <f aca="false">IF(AND(EDT!$J17=H$23,EDT!$M17&lt;&gt;"Recortada"),EDT!$K17,"")</f>
        <v/>
      </c>
      <c r="I32" s="35" t="str">
        <f aca="false">EDT!M17</f>
        <v>Pendiente</v>
      </c>
    </row>
    <row r="33" customFormat="false" ht="15" hidden="false" customHeight="false" outlineLevel="0" collapsed="false">
      <c r="A33" s="35" t="str">
        <f aca="false">EDT!A18</f>
        <v>2.3</v>
      </c>
      <c r="B33" s="29" t="str">
        <f aca="false">EDT!B18</f>
        <v>V3: tablas del agente</v>
      </c>
      <c r="C33" s="35" t="str">
        <f aca="false">IF(EDT!E18="","",EDT!E18)</f>
        <v/>
      </c>
      <c r="D33" s="35" t="str">
        <f aca="false">EDT!H18</f>
        <v>1 · Imprescindible</v>
      </c>
      <c r="E33" s="36" t="n">
        <f aca="false">IF(AND(EDT!$J18=E$23,EDT!$M18&lt;&gt;"Recortada"),EDT!$K18,"")</f>
        <v>1</v>
      </c>
      <c r="F33" s="36" t="str">
        <f aca="false">IF(AND(EDT!$J18=F$23,EDT!$M18&lt;&gt;"Recortada"),EDT!$K18,"")</f>
        <v/>
      </c>
      <c r="G33" s="36" t="str">
        <f aca="false">IF(AND(EDT!$J18=G$23,EDT!$M18&lt;&gt;"Recortada"),EDT!$K18,"")</f>
        <v/>
      </c>
      <c r="H33" s="36" t="str">
        <f aca="false">IF(AND(EDT!$J18=H$23,EDT!$M18&lt;&gt;"Recortada"),EDT!$K18,"")</f>
        <v/>
      </c>
      <c r="I33" s="35" t="str">
        <f aca="false">EDT!M18</f>
        <v>Pendiente</v>
      </c>
    </row>
    <row r="34" customFormat="false" ht="15" hidden="false" customHeight="false" outlineLevel="0" collapsed="false">
      <c r="A34" s="35" t="str">
        <f aca="false">EDT!A19</f>
        <v>2.4</v>
      </c>
      <c r="B34" s="29" t="str">
        <f aca="false">EDT!B19</f>
        <v>V3: tablas de «si hay tiempo»</v>
      </c>
      <c r="C34" s="35" t="str">
        <f aca="false">IF(EDT!E19="","",EDT!E19)</f>
        <v/>
      </c>
      <c r="D34" s="35" t="str">
        <f aca="false">EDT!H19</f>
        <v>3 · Si hay tiempo</v>
      </c>
      <c r="E34" s="36" t="str">
        <f aca="false">IF(AND(EDT!$J19=E$23,EDT!$M19&lt;&gt;"Recortada"),EDT!$K19,"")</f>
        <v/>
      </c>
      <c r="F34" s="36" t="n">
        <f aca="false">IF(AND(EDT!$J19=F$23,EDT!$M19&lt;&gt;"Recortada"),EDT!$K19,"")</f>
        <v>1</v>
      </c>
      <c r="G34" s="36" t="str">
        <f aca="false">IF(AND(EDT!$J19=G$23,EDT!$M19&lt;&gt;"Recortada"),EDT!$K19,"")</f>
        <v/>
      </c>
      <c r="H34" s="36" t="str">
        <f aca="false">IF(AND(EDT!$J19=H$23,EDT!$M19&lt;&gt;"Recortada"),EDT!$K19,"")</f>
        <v/>
      </c>
      <c r="I34" s="35" t="str">
        <f aca="false">EDT!M19</f>
        <v>Pendiente</v>
      </c>
    </row>
    <row r="35" customFormat="false" ht="15" hidden="false" customHeight="false" outlineLevel="0" collapsed="false">
      <c r="A35" s="35" t="str">
        <f aca="false">EDT!A20</f>
        <v>2.5</v>
      </c>
      <c r="B35" s="29" t="str">
        <f aca="false">EDT!B20</f>
        <v>V4: roles y permisos del dominio</v>
      </c>
      <c r="C35" s="35" t="str">
        <f aca="false">IF(EDT!E20="","",EDT!E20)</f>
        <v/>
      </c>
      <c r="D35" s="35" t="str">
        <f aca="false">EDT!H20</f>
        <v>1 · Imprescindible</v>
      </c>
      <c r="E35" s="36" t="n">
        <f aca="false">IF(AND(EDT!$J20=E$23,EDT!$M20&lt;&gt;"Recortada"),EDT!$K20,"")</f>
        <v>1.5</v>
      </c>
      <c r="F35" s="36" t="str">
        <f aca="false">IF(AND(EDT!$J20=F$23,EDT!$M20&lt;&gt;"Recortada"),EDT!$K20,"")</f>
        <v/>
      </c>
      <c r="G35" s="36" t="str">
        <f aca="false">IF(AND(EDT!$J20=G$23,EDT!$M20&lt;&gt;"Recortada"),EDT!$K20,"")</f>
        <v/>
      </c>
      <c r="H35" s="36" t="str">
        <f aca="false">IF(AND(EDT!$J20=H$23,EDT!$M20&lt;&gt;"Recortada"),EDT!$K20,"")</f>
        <v/>
      </c>
      <c r="I35" s="35" t="str">
        <f aca="false">EDT!M20</f>
        <v>Pendiente</v>
      </c>
    </row>
    <row r="36" customFormat="false" ht="15" hidden="false" customHeight="false" outlineLevel="0" collapsed="false">
      <c r="A36" s="35" t="str">
        <f aca="false">EDT!A21</f>
        <v>2.6</v>
      </c>
      <c r="B36" s="29" t="str">
        <f aca="false">EDT!B21</f>
        <v>Entidades y repositorios</v>
      </c>
      <c r="C36" s="35" t="str">
        <f aca="false">IF(EDT!E21="","",EDT!E21)</f>
        <v/>
      </c>
      <c r="D36" s="35" t="str">
        <f aca="false">EDT!H21</f>
        <v>1 · Imprescindible</v>
      </c>
      <c r="E36" s="36" t="n">
        <f aca="false">IF(AND(EDT!$J21=E$23,EDT!$M21&lt;&gt;"Recortada"),EDT!$K21,"")</f>
        <v>2</v>
      </c>
      <c r="F36" s="36" t="str">
        <f aca="false">IF(AND(EDT!$J21=F$23,EDT!$M21&lt;&gt;"Recortada"),EDT!$K21,"")</f>
        <v/>
      </c>
      <c r="G36" s="36" t="str">
        <f aca="false">IF(AND(EDT!$J21=G$23,EDT!$M21&lt;&gt;"Recortada"),EDT!$K21,"")</f>
        <v/>
      </c>
      <c r="H36" s="36" t="str">
        <f aca="false">IF(AND(EDT!$J21=H$23,EDT!$M21&lt;&gt;"Recortada"),EDT!$K21,"")</f>
        <v/>
      </c>
      <c r="I36" s="35" t="str">
        <f aca="false">EDT!M21</f>
        <v>Pendiente</v>
      </c>
    </row>
    <row r="37" customFormat="false" ht="15" hidden="false" customHeight="false" outlineLevel="0" collapsed="false">
      <c r="A37" s="35" t="str">
        <f aca="false">EDT!A22</f>
        <v>2.7</v>
      </c>
      <c r="B37" s="29" t="str">
        <f aca="false">EDT!B22</f>
        <v>Semilla: usuarios de demostración</v>
      </c>
      <c r="C37" s="35" t="str">
        <f aca="false">IF(EDT!E22="","",EDT!E22)</f>
        <v/>
      </c>
      <c r="D37" s="35" t="str">
        <f aca="false">EDT!H22</f>
        <v>1 · Imprescindible</v>
      </c>
      <c r="E37" s="36" t="n">
        <f aca="false">IF(AND(EDT!$J22=E$23,EDT!$M22&lt;&gt;"Recortada"),EDT!$K22,"")</f>
        <v>2</v>
      </c>
      <c r="F37" s="36" t="str">
        <f aca="false">IF(AND(EDT!$J22=F$23,EDT!$M22&lt;&gt;"Recortada"),EDT!$K22,"")</f>
        <v/>
      </c>
      <c r="G37" s="36" t="str">
        <f aca="false">IF(AND(EDT!$J22=G$23,EDT!$M22&lt;&gt;"Recortada"),EDT!$K22,"")</f>
        <v/>
      </c>
      <c r="H37" s="36" t="str">
        <f aca="false">IF(AND(EDT!$J22=H$23,EDT!$M22&lt;&gt;"Recortada"),EDT!$K22,"")</f>
        <v/>
      </c>
      <c r="I37" s="35" t="str">
        <f aca="false">EDT!M22</f>
        <v>Pendiente</v>
      </c>
    </row>
    <row r="38" customFormat="false" ht="15" hidden="false" customHeight="false" outlineLevel="0" collapsed="false">
      <c r="A38" s="35" t="str">
        <f aca="false">EDT!A23</f>
        <v>2.8</v>
      </c>
      <c r="B38" s="29" t="str">
        <f aca="false">EDT!B23</f>
        <v>Datos del paciente 1</v>
      </c>
      <c r="C38" s="35" t="str">
        <f aca="false">IF(EDT!E23="","",EDT!E23)</f>
        <v/>
      </c>
      <c r="D38" s="35" t="str">
        <f aca="false">EDT!H23</f>
        <v>1 · Imprescindible</v>
      </c>
      <c r="E38" s="36" t="n">
        <f aca="false">IF(AND(EDT!$J23=E$23,EDT!$M23&lt;&gt;"Recortada"),EDT!$K23,"")</f>
        <v>2.5</v>
      </c>
      <c r="F38" s="36" t="str">
        <f aca="false">IF(AND(EDT!$J23=F$23,EDT!$M23&lt;&gt;"Recortada"),EDT!$K23,"")</f>
        <v/>
      </c>
      <c r="G38" s="36" t="str">
        <f aca="false">IF(AND(EDT!$J23=G$23,EDT!$M23&lt;&gt;"Recortada"),EDT!$K23,"")</f>
        <v/>
      </c>
      <c r="H38" s="36" t="str">
        <f aca="false">IF(AND(EDT!$J23=H$23,EDT!$M23&lt;&gt;"Recortada"),EDT!$K23,"")</f>
        <v/>
      </c>
      <c r="I38" s="35" t="str">
        <f aca="false">EDT!M23</f>
        <v>Pendiente</v>
      </c>
    </row>
    <row r="39" customFormat="false" ht="15" hidden="false" customHeight="false" outlineLevel="0" collapsed="false">
      <c r="A39" s="35" t="str">
        <f aca="false">EDT!A24</f>
        <v>2.9</v>
      </c>
      <c r="B39" s="29" t="str">
        <f aca="false">EDT!B24</f>
        <v>Datos del paciente 2</v>
      </c>
      <c r="C39" s="35" t="str">
        <f aca="false">IF(EDT!E24="","",EDT!E24)</f>
        <v/>
      </c>
      <c r="D39" s="35" t="str">
        <f aca="false">EDT!H24</f>
        <v>2 · Núcleo</v>
      </c>
      <c r="E39" s="36" t="str">
        <f aca="false">IF(AND(EDT!$J24=E$23,EDT!$M24&lt;&gt;"Recortada"),EDT!$K24,"")</f>
        <v/>
      </c>
      <c r="F39" s="36" t="n">
        <f aca="false">IF(AND(EDT!$J24=F$23,EDT!$M24&lt;&gt;"Recortada"),EDT!$K24,"")</f>
        <v>2</v>
      </c>
      <c r="G39" s="36" t="str">
        <f aca="false">IF(AND(EDT!$J24=G$23,EDT!$M24&lt;&gt;"Recortada"),EDT!$K24,"")</f>
        <v/>
      </c>
      <c r="H39" s="36" t="str">
        <f aca="false">IF(AND(EDT!$J24=H$23,EDT!$M24&lt;&gt;"Recortada"),EDT!$K24,"")</f>
        <v/>
      </c>
      <c r="I39" s="35" t="str">
        <f aca="false">EDT!M24</f>
        <v>Pendiente</v>
      </c>
    </row>
    <row r="40" customFormat="false" ht="15" hidden="false" customHeight="false" outlineLevel="0" collapsed="false">
      <c r="A40" s="35" t="str">
        <f aca="false">EDT!A25</f>
        <v>2.10</v>
      </c>
      <c r="B40" s="29" t="str">
        <f aca="false">EDT!B25</f>
        <v>Datos del paciente 3</v>
      </c>
      <c r="C40" s="35" t="str">
        <f aca="false">IF(EDT!E25="","",EDT!E25)</f>
        <v/>
      </c>
      <c r="D40" s="35" t="str">
        <f aca="false">EDT!H25</f>
        <v>2 · Núcleo</v>
      </c>
      <c r="E40" s="36" t="str">
        <f aca="false">IF(AND(EDT!$J25=E$23,EDT!$M25&lt;&gt;"Recortada"),EDT!$K25,"")</f>
        <v/>
      </c>
      <c r="F40" s="36" t="n">
        <f aca="false">IF(AND(EDT!$J25=F$23,EDT!$M25&lt;&gt;"Recortada"),EDT!$K25,"")</f>
        <v>1.5</v>
      </c>
      <c r="G40" s="36" t="str">
        <f aca="false">IF(AND(EDT!$J25=G$23,EDT!$M25&lt;&gt;"Recortada"),EDT!$K25,"")</f>
        <v/>
      </c>
      <c r="H40" s="36" t="str">
        <f aca="false">IF(AND(EDT!$J25=H$23,EDT!$M25&lt;&gt;"Recortada"),EDT!$K25,"")</f>
        <v/>
      </c>
      <c r="I40" s="35" t="str">
        <f aca="false">EDT!M25</f>
        <v>Pendiente</v>
      </c>
    </row>
    <row r="41" customFormat="false" ht="15" hidden="false" customHeight="false" outlineLevel="0" collapsed="false">
      <c r="A41" s="35" t="str">
        <f aca="false">EDT!A26</f>
        <v>2.11</v>
      </c>
      <c r="B41" s="29" t="str">
        <f aca="false">EDT!B26</f>
        <v>Datos del paciente 4</v>
      </c>
      <c r="C41" s="35" t="str">
        <f aca="false">IF(EDT!E26="","",EDT!E26)</f>
        <v/>
      </c>
      <c r="D41" s="35" t="str">
        <f aca="false">EDT!H26</f>
        <v>2 · Núcleo</v>
      </c>
      <c r="E41" s="36" t="str">
        <f aca="false">IF(AND(EDT!$J26=E$23,EDT!$M26&lt;&gt;"Recortada"),EDT!$K26,"")</f>
        <v/>
      </c>
      <c r="F41" s="36" t="n">
        <f aca="false">IF(AND(EDT!$J26=F$23,EDT!$M26&lt;&gt;"Recortada"),EDT!$K26,"")</f>
        <v>1.5</v>
      </c>
      <c r="G41" s="36" t="str">
        <f aca="false">IF(AND(EDT!$J26=G$23,EDT!$M26&lt;&gt;"Recortada"),EDT!$K26,"")</f>
        <v/>
      </c>
      <c r="H41" s="36" t="str">
        <f aca="false">IF(AND(EDT!$J26=H$23,EDT!$M26&lt;&gt;"Recortada"),EDT!$K26,"")</f>
        <v/>
      </c>
      <c r="I41" s="35" t="str">
        <f aca="false">EDT!M26</f>
        <v>Pendiente</v>
      </c>
    </row>
    <row r="42" customFormat="false" ht="15" hidden="false" customHeight="false" outlineLevel="0" collapsed="false">
      <c r="A42" s="35" t="str">
        <f aca="false">EDT!A27</f>
        <v>2.12</v>
      </c>
      <c r="B42" s="29" t="str">
        <f aca="false">EDT!B27</f>
        <v>Datos del paciente 5</v>
      </c>
      <c r="C42" s="35" t="str">
        <f aca="false">IF(EDT!E27="","",EDT!E27)</f>
        <v/>
      </c>
      <c r="D42" s="35" t="str">
        <f aca="false">EDT!H27</f>
        <v>2 · Núcleo</v>
      </c>
      <c r="E42" s="36" t="str">
        <f aca="false">IF(AND(EDT!$J27=E$23,EDT!$M27&lt;&gt;"Recortada"),EDT!$K27,"")</f>
        <v/>
      </c>
      <c r="F42" s="36" t="n">
        <f aca="false">IF(AND(EDT!$J27=F$23,EDT!$M27&lt;&gt;"Recortada"),EDT!$K27,"")</f>
        <v>1</v>
      </c>
      <c r="G42" s="36" t="str">
        <f aca="false">IF(AND(EDT!$J27=G$23,EDT!$M27&lt;&gt;"Recortada"),EDT!$K27,"")</f>
        <v/>
      </c>
      <c r="H42" s="36" t="str">
        <f aca="false">IF(AND(EDT!$J27=H$23,EDT!$M27&lt;&gt;"Recortada"),EDT!$K27,"")</f>
        <v/>
      </c>
      <c r="I42" s="35" t="str">
        <f aca="false">EDT!M27</f>
        <v>Pendiente</v>
      </c>
    </row>
    <row r="43" customFormat="false" ht="15" hidden="false" customHeight="false" outlineLevel="0" collapsed="false">
      <c r="A43" s="35" t="str">
        <f aca="false">EDT!A28</f>
        <v>2.13</v>
      </c>
      <c r="B43" s="29" t="str">
        <f aca="false">EDT!B28</f>
        <v>Informes sembrados</v>
      </c>
      <c r="C43" s="35" t="str">
        <f aca="false">IF(EDT!E28="","",EDT!E28)</f>
        <v/>
      </c>
      <c r="D43" s="35" t="str">
        <f aca="false">EDT!H28</f>
        <v>2 · Núcleo</v>
      </c>
      <c r="E43" s="36" t="str">
        <f aca="false">IF(AND(EDT!$J28=E$23,EDT!$M28&lt;&gt;"Recortada"),EDT!$K28,"")</f>
        <v/>
      </c>
      <c r="F43" s="36" t="n">
        <f aca="false">IF(AND(EDT!$J28=F$23,EDT!$M28&lt;&gt;"Recortada"),EDT!$K28,"")</f>
        <v>2.5</v>
      </c>
      <c r="G43" s="36" t="str">
        <f aca="false">IF(AND(EDT!$J28=G$23,EDT!$M28&lt;&gt;"Recortada"),EDT!$K28,"")</f>
        <v/>
      </c>
      <c r="H43" s="36" t="str">
        <f aca="false">IF(AND(EDT!$J28=H$23,EDT!$M28&lt;&gt;"Recortada"),EDT!$K28,"")</f>
        <v/>
      </c>
      <c r="I43" s="35" t="str">
        <f aca="false">EDT!M28</f>
        <v>Pendiente</v>
      </c>
    </row>
    <row r="44" customFormat="false" ht="15" hidden="false" customHeight="false" outlineLevel="0" collapsed="false">
      <c r="A44" s="35" t="str">
        <f aca="false">EDT!A29</f>
        <v>2.14</v>
      </c>
      <c r="B44" s="29" t="str">
        <f aca="false">EDT!B29</f>
        <v>Prueba de idempotencia de la semilla</v>
      </c>
      <c r="C44" s="35" t="str">
        <f aca="false">IF(EDT!E29="","",EDT!E29)</f>
        <v/>
      </c>
      <c r="D44" s="35" t="str">
        <f aca="false">EDT!H29</f>
        <v>1 · Imprescindible</v>
      </c>
      <c r="E44" s="36" t="str">
        <f aca="false">IF(AND(EDT!$J29=E$23,EDT!$M29&lt;&gt;"Recortada"),EDT!$K29,"")</f>
        <v/>
      </c>
      <c r="F44" s="36" t="n">
        <f aca="false">IF(AND(EDT!$J29=F$23,EDT!$M29&lt;&gt;"Recortada"),EDT!$K29,"")</f>
        <v>0.5</v>
      </c>
      <c r="G44" s="36" t="str">
        <f aca="false">IF(AND(EDT!$J29=G$23,EDT!$M29&lt;&gt;"Recortada"),EDT!$K29,"")</f>
        <v/>
      </c>
      <c r="H44" s="36" t="str">
        <f aca="false">IF(AND(EDT!$J29=H$23,EDT!$M29&lt;&gt;"Recortada"),EDT!$K29,"")</f>
        <v/>
      </c>
      <c r="I44" s="35" t="str">
        <f aca="false">EDT!M29</f>
        <v>Pendiente</v>
      </c>
    </row>
    <row r="45" customFormat="false" ht="15" hidden="false" customHeight="false" outlineLevel="0" collapsed="false">
      <c r="A45" s="35" t="str">
        <f aca="false">EDT!A31</f>
        <v>3.1</v>
      </c>
      <c r="B45" s="29" t="str">
        <f aca="false">EDT!B31</f>
        <v>API de usuarios de demostración y sesión</v>
      </c>
      <c r="C45" s="35" t="str">
        <f aca="false">IF(EDT!E31="","",EDT!E31)</f>
        <v/>
      </c>
      <c r="D45" s="35" t="str">
        <f aca="false">EDT!H31</f>
        <v>1 · Imprescindible</v>
      </c>
      <c r="E45" s="36" t="n">
        <f aca="false">IF(AND(EDT!$J31=E$23,EDT!$M31&lt;&gt;"Recortada"),EDT!$K31,"")</f>
        <v>2</v>
      </c>
      <c r="F45" s="36" t="str">
        <f aca="false">IF(AND(EDT!$J31=F$23,EDT!$M31&lt;&gt;"Recortada"),EDT!$K31,"")</f>
        <v/>
      </c>
      <c r="G45" s="36" t="str">
        <f aca="false">IF(AND(EDT!$J31=G$23,EDT!$M31&lt;&gt;"Recortada"),EDT!$K31,"")</f>
        <v/>
      </c>
      <c r="H45" s="36" t="str">
        <f aca="false">IF(AND(EDT!$J31=H$23,EDT!$M31&lt;&gt;"Recortada"),EDT!$K31,"")</f>
        <v/>
      </c>
      <c r="I45" s="35" t="str">
        <f aca="false">EDT!M31</f>
        <v>Pendiente</v>
      </c>
    </row>
    <row r="46" customFormat="false" ht="15" hidden="false" customHeight="false" outlineLevel="0" collapsed="false">
      <c r="A46" s="35" t="str">
        <f aca="false">EDT!A32</f>
        <v>3.2</v>
      </c>
      <c r="B46" s="29" t="str">
        <f aca="false">EDT!B32</f>
        <v>Permisos por rol en el servidor</v>
      </c>
      <c r="C46" s="35" t="str">
        <f aca="false">IF(EDT!E32="","",EDT!E32)</f>
        <v/>
      </c>
      <c r="D46" s="35" t="str">
        <f aca="false">EDT!H32</f>
        <v>1 · Imprescindible</v>
      </c>
      <c r="E46" s="36" t="n">
        <f aca="false">IF(AND(EDT!$J32=E$23,EDT!$M32&lt;&gt;"Recortada"),EDT!$K32,"")</f>
        <v>2</v>
      </c>
      <c r="F46" s="36" t="str">
        <f aca="false">IF(AND(EDT!$J32=F$23,EDT!$M32&lt;&gt;"Recortada"),EDT!$K32,"")</f>
        <v/>
      </c>
      <c r="G46" s="36" t="str">
        <f aca="false">IF(AND(EDT!$J32=G$23,EDT!$M32&lt;&gt;"Recortada"),EDT!$K32,"")</f>
        <v/>
      </c>
      <c r="H46" s="36" t="str">
        <f aca="false">IF(AND(EDT!$J32=H$23,EDT!$M32&lt;&gt;"Recortada"),EDT!$K32,"")</f>
        <v/>
      </c>
      <c r="I46" s="35" t="str">
        <f aca="false">EDT!M32</f>
        <v>Pendiente</v>
      </c>
    </row>
    <row r="47" customFormat="false" ht="15" hidden="false" customHeight="false" outlineLevel="0" collapsed="false">
      <c r="A47" s="35" t="str">
        <f aca="false">EDT!A33</f>
        <v>3.3</v>
      </c>
      <c r="B47" s="29" t="str">
        <f aca="false">EDT!B33</f>
        <v>Pruebas automáticas de permisos</v>
      </c>
      <c r="C47" s="35" t="str">
        <f aca="false">IF(EDT!E33="","",EDT!E33)</f>
        <v/>
      </c>
      <c r="D47" s="35" t="str">
        <f aca="false">EDT!H33</f>
        <v>1 · Imprescindible</v>
      </c>
      <c r="E47" s="36" t="str">
        <f aca="false">IF(AND(EDT!$J33=E$23,EDT!$M33&lt;&gt;"Recortada"),EDT!$K33,"")</f>
        <v/>
      </c>
      <c r="F47" s="36" t="n">
        <f aca="false">IF(AND(EDT!$J33=F$23,EDT!$M33&lt;&gt;"Recortada"),EDT!$K33,"")</f>
        <v>1.5</v>
      </c>
      <c r="G47" s="36" t="str">
        <f aca="false">IF(AND(EDT!$J33=G$23,EDT!$M33&lt;&gt;"Recortada"),EDT!$K33,"")</f>
        <v/>
      </c>
      <c r="H47" s="36" t="str">
        <f aca="false">IF(AND(EDT!$J33=H$23,EDT!$M33&lt;&gt;"Recortada"),EDT!$K33,"")</f>
        <v/>
      </c>
      <c r="I47" s="35" t="str">
        <f aca="false">EDT!M33</f>
        <v>Pendiente</v>
      </c>
    </row>
    <row r="48" customFormat="false" ht="15" hidden="false" customHeight="false" outlineLevel="0" collapsed="false">
      <c r="A48" s="35" t="str">
        <f aca="false">EDT!A34</f>
        <v>3.4</v>
      </c>
      <c r="B48" s="29" t="str">
        <f aca="false">EDT!B34</f>
        <v>Pantalla de elección de usuario y guards por rol</v>
      </c>
      <c r="C48" s="35" t="str">
        <f aca="false">IF(EDT!E34="","",EDT!E34)</f>
        <v/>
      </c>
      <c r="D48" s="35" t="str">
        <f aca="false">EDT!H34</f>
        <v>1 · Imprescindible</v>
      </c>
      <c r="E48" s="36" t="n">
        <f aca="false">IF(AND(EDT!$J34=E$23,EDT!$M34&lt;&gt;"Recortada"),EDT!$K34,"")</f>
        <v>2</v>
      </c>
      <c r="F48" s="36" t="str">
        <f aca="false">IF(AND(EDT!$J34=F$23,EDT!$M34&lt;&gt;"Recortada"),EDT!$K34,"")</f>
        <v/>
      </c>
      <c r="G48" s="36" t="str">
        <f aca="false">IF(AND(EDT!$J34=G$23,EDT!$M34&lt;&gt;"Recortada"),EDT!$K34,"")</f>
        <v/>
      </c>
      <c r="H48" s="36" t="str">
        <f aca="false">IF(AND(EDT!$J34=H$23,EDT!$M34&lt;&gt;"Recortada"),EDT!$K34,"")</f>
        <v/>
      </c>
      <c r="I48" s="35" t="str">
        <f aca="false">EDT!M34</f>
        <v>Pendiente</v>
      </c>
    </row>
    <row r="49" customFormat="false" ht="15" hidden="false" customHeight="false" outlineLevel="0" collapsed="false">
      <c r="A49" s="35" t="str">
        <f aca="false">EDT!A36</f>
        <v>4.1</v>
      </c>
      <c r="B49" s="29" t="str">
        <f aca="false">EDT!B36</f>
        <v>API de pacientes</v>
      </c>
      <c r="C49" s="35" t="str">
        <f aca="false">IF(EDT!E36="","",EDT!E36)</f>
        <v/>
      </c>
      <c r="D49" s="35" t="str">
        <f aca="false">EDT!H36</f>
        <v>1 · Imprescindible</v>
      </c>
      <c r="E49" s="36" t="n">
        <f aca="false">IF(AND(EDT!$J36=E$23,EDT!$M36&lt;&gt;"Recortada"),EDT!$K36,"")</f>
        <v>1</v>
      </c>
      <c r="F49" s="36" t="str">
        <f aca="false">IF(AND(EDT!$J36=F$23,EDT!$M36&lt;&gt;"Recortada"),EDT!$K36,"")</f>
        <v/>
      </c>
      <c r="G49" s="36" t="str">
        <f aca="false">IF(AND(EDT!$J36=G$23,EDT!$M36&lt;&gt;"Recortada"),EDT!$K36,"")</f>
        <v/>
      </c>
      <c r="H49" s="36" t="str">
        <f aca="false">IF(AND(EDT!$J36=H$23,EDT!$M36&lt;&gt;"Recortada"),EDT!$K36,"")</f>
        <v/>
      </c>
      <c r="I49" s="35" t="str">
        <f aca="false">EDT!M36</f>
        <v>Pendiente</v>
      </c>
    </row>
    <row r="50" customFormat="false" ht="15" hidden="false" customHeight="false" outlineLevel="0" collapsed="false">
      <c r="A50" s="35" t="str">
        <f aca="false">EDT!A37</f>
        <v>4.2</v>
      </c>
      <c r="B50" s="29" t="str">
        <f aca="false">EDT!B37</f>
        <v>API de entradas</v>
      </c>
      <c r="C50" s="35" t="str">
        <f aca="false">IF(EDT!E37="","",EDT!E37)</f>
        <v/>
      </c>
      <c r="D50" s="35" t="str">
        <f aca="false">EDT!H37</f>
        <v>1 · Imprescindible</v>
      </c>
      <c r="E50" s="36" t="n">
        <f aca="false">IF(AND(EDT!$J37=E$23,EDT!$M37&lt;&gt;"Recortada"),EDT!$K37,"")</f>
        <v>2</v>
      </c>
      <c r="F50" s="36" t="str">
        <f aca="false">IF(AND(EDT!$J37=F$23,EDT!$M37&lt;&gt;"Recortada"),EDT!$K37,"")</f>
        <v/>
      </c>
      <c r="G50" s="36" t="str">
        <f aca="false">IF(AND(EDT!$J37=G$23,EDT!$M37&lt;&gt;"Recortada"),EDT!$K37,"")</f>
        <v/>
      </c>
      <c r="H50" s="36" t="str">
        <f aca="false">IF(AND(EDT!$J37=H$23,EDT!$M37&lt;&gt;"Recortada"),EDT!$K37,"")</f>
        <v/>
      </c>
      <c r="I50" s="35" t="str">
        <f aca="false">EDT!M37</f>
        <v>Pendiente</v>
      </c>
    </row>
    <row r="51" customFormat="false" ht="15" hidden="false" customHeight="false" outlineLevel="0" collapsed="false">
      <c r="A51" s="35" t="str">
        <f aca="false">EDT!A38</f>
        <v>4.3</v>
      </c>
      <c r="B51" s="29" t="str">
        <f aca="false">EDT!B38</f>
        <v>Pantalla: lista de pacientes y alta mínima</v>
      </c>
      <c r="C51" s="35" t="str">
        <f aca="false">IF(EDT!E38="","",EDT!E38)</f>
        <v/>
      </c>
      <c r="D51" s="35" t="str">
        <f aca="false">EDT!H38</f>
        <v>2 · Núcleo</v>
      </c>
      <c r="E51" s="36" t="n">
        <f aca="false">IF(AND(EDT!$J38=E$23,EDT!$M38&lt;&gt;"Recortada"),EDT!$K38,"")</f>
        <v>1.5</v>
      </c>
      <c r="F51" s="36" t="str">
        <f aca="false">IF(AND(EDT!$J38=F$23,EDT!$M38&lt;&gt;"Recortada"),EDT!$K38,"")</f>
        <v/>
      </c>
      <c r="G51" s="36" t="str">
        <f aca="false">IF(AND(EDT!$J38=G$23,EDT!$M38&lt;&gt;"Recortada"),EDT!$K38,"")</f>
        <v/>
      </c>
      <c r="H51" s="36" t="str">
        <f aca="false">IF(AND(EDT!$J38=H$23,EDT!$M38&lt;&gt;"Recortada"),EDT!$K38,"")</f>
        <v/>
      </c>
      <c r="I51" s="35" t="str">
        <f aca="false">EDT!M38</f>
        <v>Pendiente</v>
      </c>
    </row>
    <row r="52" customFormat="false" ht="15" hidden="false" customHeight="false" outlineLevel="0" collapsed="false">
      <c r="A52" s="35" t="str">
        <f aca="false">EDT!A39</f>
        <v>4.4</v>
      </c>
      <c r="B52" s="29" t="str">
        <f aca="false">EDT!B39</f>
        <v>Pantalla: historial del paciente</v>
      </c>
      <c r="C52" s="35" t="str">
        <f aca="false">IF(EDT!E39="","",EDT!E39)</f>
        <v/>
      </c>
      <c r="D52" s="35" t="str">
        <f aca="false">EDT!H39</f>
        <v>2 · Núcleo</v>
      </c>
      <c r="E52" s="36" t="n">
        <f aca="false">IF(AND(EDT!$J39=E$23,EDT!$M39&lt;&gt;"Recortada"),EDT!$K39,"")</f>
        <v>2</v>
      </c>
      <c r="F52" s="36" t="str">
        <f aca="false">IF(AND(EDT!$J39=F$23,EDT!$M39&lt;&gt;"Recortada"),EDT!$K39,"")</f>
        <v/>
      </c>
      <c r="G52" s="36" t="str">
        <f aca="false">IF(AND(EDT!$J39=G$23,EDT!$M39&lt;&gt;"Recortada"),EDT!$K39,"")</f>
        <v/>
      </c>
      <c r="H52" s="36" t="str">
        <f aca="false">IF(AND(EDT!$J39=H$23,EDT!$M39&lt;&gt;"Recortada"),EDT!$K39,"")</f>
        <v/>
      </c>
      <c r="I52" s="35" t="str">
        <f aca="false">EDT!M39</f>
        <v>Pendiente</v>
      </c>
    </row>
    <row r="53" customFormat="false" ht="15" hidden="false" customHeight="false" outlineLevel="0" collapsed="false">
      <c r="A53" s="35" t="str">
        <f aca="false">EDT!A40</f>
        <v>4.5</v>
      </c>
      <c r="B53" s="29" t="str">
        <f aca="false">EDT!B40</f>
        <v>Pantalla de registro</v>
      </c>
      <c r="C53" s="35" t="str">
        <f aca="false">IF(EDT!E40="","",EDT!E40)</f>
        <v/>
      </c>
      <c r="D53" s="35" t="str">
        <f aca="false">EDT!H40</f>
        <v>1 · Imprescindible</v>
      </c>
      <c r="E53" s="36" t="n">
        <f aca="false">IF(AND(EDT!$J40=E$23,EDT!$M40&lt;&gt;"Recortada"),EDT!$K40,"")</f>
        <v>1.5</v>
      </c>
      <c r="F53" s="36" t="str">
        <f aca="false">IF(AND(EDT!$J40=F$23,EDT!$M40&lt;&gt;"Recortada"),EDT!$K40,"")</f>
        <v/>
      </c>
      <c r="G53" s="36" t="str">
        <f aca="false">IF(AND(EDT!$J40=G$23,EDT!$M40&lt;&gt;"Recortada"),EDT!$K40,"")</f>
        <v/>
      </c>
      <c r="H53" s="36" t="str">
        <f aca="false">IF(AND(EDT!$J40=H$23,EDT!$M40&lt;&gt;"Recortada"),EDT!$K40,"")</f>
        <v/>
      </c>
      <c r="I53" s="35" t="str">
        <f aca="false">EDT!M40</f>
        <v>Pendiente</v>
      </c>
    </row>
    <row r="54" customFormat="false" ht="15" hidden="false" customHeight="false" outlineLevel="0" collapsed="false">
      <c r="A54" s="35" t="str">
        <f aca="false">EDT!A42</f>
        <v>5.1</v>
      </c>
      <c r="B54" s="29" t="str">
        <f aca="false">EDT!B42</f>
        <v>Esquema y prompt de la propuesta</v>
      </c>
      <c r="C54" s="35" t="str">
        <f aca="false">IF(EDT!E42="","",EDT!E42)</f>
        <v/>
      </c>
      <c r="D54" s="35" t="str">
        <f aca="false">EDT!H42</f>
        <v>2 · Núcleo</v>
      </c>
      <c r="E54" s="36" t="n">
        <f aca="false">IF(AND(EDT!$J42=E$23,EDT!$M42&lt;&gt;"Recortada"),EDT!$K42,"")</f>
        <v>2</v>
      </c>
      <c r="F54" s="36" t="str">
        <f aca="false">IF(AND(EDT!$J42=F$23,EDT!$M42&lt;&gt;"Recortada"),EDT!$K42,"")</f>
        <v/>
      </c>
      <c r="G54" s="36" t="str">
        <f aca="false">IF(AND(EDT!$J42=G$23,EDT!$M42&lt;&gt;"Recortada"),EDT!$K42,"")</f>
        <v/>
      </c>
      <c r="H54" s="36" t="str">
        <f aca="false">IF(AND(EDT!$J42=H$23,EDT!$M42&lt;&gt;"Recortada"),EDT!$K42,"")</f>
        <v/>
      </c>
      <c r="I54" s="35" t="str">
        <f aca="false">EDT!M42</f>
        <v>Pendiente</v>
      </c>
    </row>
    <row r="55" customFormat="false" ht="15" hidden="false" customHeight="false" outlineLevel="0" collapsed="false">
      <c r="A55" s="35" t="str">
        <f aca="false">EDT!A43</f>
        <v>5.2</v>
      </c>
      <c r="B55" s="29" t="str">
        <f aca="false">EDT!B43</f>
        <v>Servicio de estructuración</v>
      </c>
      <c r="C55" s="35" t="str">
        <f aca="false">IF(EDT!E43="","",EDT!E43)</f>
        <v/>
      </c>
      <c r="D55" s="35" t="str">
        <f aca="false">EDT!H43</f>
        <v>2 · Núcleo</v>
      </c>
      <c r="E55" s="36" t="n">
        <f aca="false">IF(AND(EDT!$J43=E$23,EDT!$M43&lt;&gt;"Recortada"),EDT!$K43,"")</f>
        <v>2</v>
      </c>
      <c r="F55" s="36" t="str">
        <f aca="false">IF(AND(EDT!$J43=F$23,EDT!$M43&lt;&gt;"Recortada"),EDT!$K43,"")</f>
        <v/>
      </c>
      <c r="G55" s="36" t="str">
        <f aca="false">IF(AND(EDT!$J43=G$23,EDT!$M43&lt;&gt;"Recortada"),EDT!$K43,"")</f>
        <v/>
      </c>
      <c r="H55" s="36" t="str">
        <f aca="false">IF(AND(EDT!$J43=H$23,EDT!$M43&lt;&gt;"Recortada"),EDT!$K43,"")</f>
        <v/>
      </c>
      <c r="I55" s="35" t="str">
        <f aca="false">EDT!M43</f>
        <v>Pendiente</v>
      </c>
    </row>
    <row r="56" customFormat="false" ht="15" hidden="false" customHeight="false" outlineLevel="0" collapsed="false">
      <c r="A56" s="35" t="str">
        <f aca="false">EDT!A44</f>
        <v>5.3</v>
      </c>
      <c r="B56" s="29" t="str">
        <f aca="false">EDT!B44</f>
        <v>API: proponer y confirmar</v>
      </c>
      <c r="C56" s="35" t="str">
        <f aca="false">IF(EDT!E44="","",EDT!E44)</f>
        <v/>
      </c>
      <c r="D56" s="35" t="str">
        <f aca="false">EDT!H44</f>
        <v>2 · Núcleo</v>
      </c>
      <c r="E56" s="36" t="n">
        <f aca="false">IF(AND(EDT!$J44=E$23,EDT!$M44&lt;&gt;"Recortada"),EDT!$K44,"")</f>
        <v>2</v>
      </c>
      <c r="F56" s="36" t="str">
        <f aca="false">IF(AND(EDT!$J44=F$23,EDT!$M44&lt;&gt;"Recortada"),EDT!$K44,"")</f>
        <v/>
      </c>
      <c r="G56" s="36" t="str">
        <f aca="false">IF(AND(EDT!$J44=G$23,EDT!$M44&lt;&gt;"Recortada"),EDT!$K44,"")</f>
        <v/>
      </c>
      <c r="H56" s="36" t="str">
        <f aca="false">IF(AND(EDT!$J44=H$23,EDT!$M44&lt;&gt;"Recortada"),EDT!$K44,"")</f>
        <v/>
      </c>
      <c r="I56" s="35" t="str">
        <f aca="false">EDT!M44</f>
        <v>Pendiente</v>
      </c>
    </row>
    <row r="57" customFormat="false" ht="15" hidden="false" customHeight="false" outlineLevel="0" collapsed="false">
      <c r="A57" s="35" t="str">
        <f aca="false">EDT!A45</f>
        <v>5.4</v>
      </c>
      <c r="B57" s="29" t="str">
        <f aca="false">EDT!B45</f>
        <v>Pantalla «Así quedaría el registro»</v>
      </c>
      <c r="C57" s="35" t="str">
        <f aca="false">IF(EDT!E45="","",EDT!E45)</f>
        <v/>
      </c>
      <c r="D57" s="35" t="str">
        <f aca="false">EDT!H45</f>
        <v>2 · Núcleo</v>
      </c>
      <c r="E57" s="36" t="n">
        <f aca="false">IF(AND(EDT!$J45=E$23,EDT!$M45&lt;&gt;"Recortada"),EDT!$K45,"")</f>
        <v>2.5</v>
      </c>
      <c r="F57" s="36" t="str">
        <f aca="false">IF(AND(EDT!$J45=F$23,EDT!$M45&lt;&gt;"Recortada"),EDT!$K45,"")</f>
        <v/>
      </c>
      <c r="G57" s="36" t="str">
        <f aca="false">IF(AND(EDT!$J45=G$23,EDT!$M45&lt;&gt;"Recortada"),EDT!$K45,"")</f>
        <v/>
      </c>
      <c r="H57" s="36" t="str">
        <f aca="false">IF(AND(EDT!$J45=H$23,EDT!$M45&lt;&gt;"Recortada"),EDT!$K45,"")</f>
        <v/>
      </c>
      <c r="I57" s="35" t="str">
        <f aca="false">EDT!M45</f>
        <v>Pendiente</v>
      </c>
    </row>
    <row r="58" customFormat="false" ht="15" hidden="false" customHeight="false" outlineLevel="0" collapsed="false">
      <c r="A58" s="35" t="str">
        <f aca="false">EDT!A46</f>
        <v>5.5</v>
      </c>
      <c r="B58" s="29" t="str">
        <f aca="false">EDT!B46</f>
        <v>Quitar, agregar, editar y descartar eventos</v>
      </c>
      <c r="C58" s="35" t="str">
        <f aca="false">IF(EDT!E46="","",EDT!E46)</f>
        <v/>
      </c>
      <c r="D58" s="35" t="str">
        <f aca="false">EDT!H46</f>
        <v>2 · Núcleo</v>
      </c>
      <c r="E58" s="36" t="str">
        <f aca="false">IF(AND(EDT!$J46=E$23,EDT!$M46&lt;&gt;"Recortada"),EDT!$K46,"")</f>
        <v/>
      </c>
      <c r="F58" s="36" t="n">
        <f aca="false">IF(AND(EDT!$J46=F$23,EDT!$M46&lt;&gt;"Recortada"),EDT!$K46,"")</f>
        <v>2</v>
      </c>
      <c r="G58" s="36" t="str">
        <f aca="false">IF(AND(EDT!$J46=G$23,EDT!$M46&lt;&gt;"Recortada"),EDT!$K46,"")</f>
        <v/>
      </c>
      <c r="H58" s="36" t="str">
        <f aca="false">IF(AND(EDT!$J46=H$23,EDT!$M46&lt;&gt;"Recortada"),EDT!$K46,"")</f>
        <v/>
      </c>
      <c r="I58" s="35" t="str">
        <f aca="false">EDT!M46</f>
        <v>Pendiente</v>
      </c>
    </row>
    <row r="59" customFormat="false" ht="15" hidden="false" customHeight="false" outlineLevel="0" collapsed="false">
      <c r="A59" s="35" t="str">
        <f aca="false">EDT!A47</f>
        <v>5.6</v>
      </c>
      <c r="B59" s="29" t="str">
        <f aca="false">EDT!B47</f>
        <v>Fallo de la estructuración</v>
      </c>
      <c r="C59" s="35" t="str">
        <f aca="false">IF(EDT!E47="","",EDT!E47)</f>
        <v/>
      </c>
      <c r="D59" s="35" t="str">
        <f aca="false">EDT!H47</f>
        <v>2 · Núcleo</v>
      </c>
      <c r="E59" s="36" t="str">
        <f aca="false">IF(AND(EDT!$J47=E$23,EDT!$M47&lt;&gt;"Recortada"),EDT!$K47,"")</f>
        <v/>
      </c>
      <c r="F59" s="36" t="n">
        <f aca="false">IF(AND(EDT!$J47=F$23,EDT!$M47&lt;&gt;"Recortada"),EDT!$K47,"")</f>
        <v>2</v>
      </c>
      <c r="G59" s="36" t="str">
        <f aca="false">IF(AND(EDT!$J47=G$23,EDT!$M47&lt;&gt;"Recortada"),EDT!$K47,"")</f>
        <v/>
      </c>
      <c r="H59" s="36" t="str">
        <f aca="false">IF(AND(EDT!$J47=H$23,EDT!$M47&lt;&gt;"Recortada"),EDT!$K47,"")</f>
        <v/>
      </c>
      <c r="I59" s="35" t="str">
        <f aca="false">EDT!M47</f>
        <v>Pendiente</v>
      </c>
    </row>
    <row r="60" customFormat="false" ht="15" hidden="false" customHeight="false" outlineLevel="0" collapsed="false">
      <c r="A60" s="35" t="str">
        <f aca="false">EDT!A48</f>
        <v>5.7</v>
      </c>
      <c r="B60" s="29" t="str">
        <f aca="false">EDT!B48</f>
        <v>Traza de la estructuración</v>
      </c>
      <c r="C60" s="35" t="str">
        <f aca="false">IF(EDT!E48="","",EDT!E48)</f>
        <v/>
      </c>
      <c r="D60" s="35" t="str">
        <f aca="false">EDT!H48</f>
        <v>2 · Núcleo</v>
      </c>
      <c r="E60" s="36" t="str">
        <f aca="false">IF(AND(EDT!$J48=E$23,EDT!$M48&lt;&gt;"Recortada"),EDT!$K48,"")</f>
        <v/>
      </c>
      <c r="F60" s="36" t="n">
        <f aca="false">IF(AND(EDT!$J48=F$23,EDT!$M48&lt;&gt;"Recortada"),EDT!$K48,"")</f>
        <v>1</v>
      </c>
      <c r="G60" s="36" t="str">
        <f aca="false">IF(AND(EDT!$J48=G$23,EDT!$M48&lt;&gt;"Recortada"),EDT!$K48,"")</f>
        <v/>
      </c>
      <c r="H60" s="36" t="str">
        <f aca="false">IF(AND(EDT!$J48=H$23,EDT!$M48&lt;&gt;"Recortada"),EDT!$K48,"")</f>
        <v/>
      </c>
      <c r="I60" s="35" t="str">
        <f aca="false">EDT!M48</f>
        <v>Pendiente</v>
      </c>
    </row>
    <row r="61" customFormat="false" ht="15" hidden="false" customHeight="false" outlineLevel="0" collapsed="false">
      <c r="A61" s="35" t="str">
        <f aca="false">EDT!A49</f>
        <v>5.8</v>
      </c>
      <c r="B61" s="29" t="str">
        <f aca="false">EDT!B49</f>
        <v>(Si hay tiempo) Texto corregido como versión</v>
      </c>
      <c r="C61" s="35" t="str">
        <f aca="false">IF(EDT!E49="","",EDT!E49)</f>
        <v/>
      </c>
      <c r="D61" s="35" t="str">
        <f aca="false">EDT!H49</f>
        <v>3 · Si hay tiempo</v>
      </c>
      <c r="E61" s="36" t="str">
        <f aca="false">IF(AND(EDT!$J49=E$23,EDT!$M49&lt;&gt;"Recortada"),EDT!$K49,"")</f>
        <v/>
      </c>
      <c r="F61" s="36" t="n">
        <f aca="false">IF(AND(EDT!$J49=F$23,EDT!$M49&lt;&gt;"Recortada"),EDT!$K49,"")</f>
        <v>3</v>
      </c>
      <c r="G61" s="36" t="str">
        <f aca="false">IF(AND(EDT!$J49=G$23,EDT!$M49&lt;&gt;"Recortada"),EDT!$K49,"")</f>
        <v/>
      </c>
      <c r="H61" s="36" t="str">
        <f aca="false">IF(AND(EDT!$J49=H$23,EDT!$M49&lt;&gt;"Recortada"),EDT!$K49,"")</f>
        <v/>
      </c>
      <c r="I61" s="35" t="str">
        <f aca="false">EDT!M49</f>
        <v>Pendiente</v>
      </c>
    </row>
    <row r="62" customFormat="false" ht="15" hidden="false" customHeight="false" outlineLevel="0" collapsed="false">
      <c r="A62" s="35" t="str">
        <f aca="false">EDT!A50</f>
        <v>5.9</v>
      </c>
      <c r="B62" s="29" t="str">
        <f aca="false">EDT!B50</f>
        <v>(Si hay tiempo) Corregir una entrada con versión</v>
      </c>
      <c r="C62" s="35" t="str">
        <f aca="false">IF(EDT!E50="","",EDT!E50)</f>
        <v/>
      </c>
      <c r="D62" s="35" t="str">
        <f aca="false">EDT!H50</f>
        <v>3 · Si hay tiempo</v>
      </c>
      <c r="E62" s="36" t="str">
        <f aca="false">IF(AND(EDT!$J50=E$23,EDT!$M50&lt;&gt;"Recortada"),EDT!$K50,"")</f>
        <v/>
      </c>
      <c r="F62" s="36" t="n">
        <f aca="false">IF(AND(EDT!$J50=F$23,EDT!$M50&lt;&gt;"Recortada"),EDT!$K50,"")</f>
        <v>2</v>
      </c>
      <c r="G62" s="36" t="str">
        <f aca="false">IF(AND(EDT!$J50=G$23,EDT!$M50&lt;&gt;"Recortada"),EDT!$K50,"")</f>
        <v/>
      </c>
      <c r="H62" s="36" t="str">
        <f aca="false">IF(AND(EDT!$J50=H$23,EDT!$M50&lt;&gt;"Recortada"),EDT!$K50,"")</f>
        <v/>
      </c>
      <c r="I62" s="35" t="str">
        <f aca="false">EDT!M50</f>
        <v>Pendiente</v>
      </c>
    </row>
    <row r="63" customFormat="false" ht="15" hidden="false" customHeight="false" outlineLevel="0" collapsed="false">
      <c r="A63" s="35" t="str">
        <f aca="false">EDT!A52</f>
        <v>6.1</v>
      </c>
      <c r="B63" s="29" t="str">
        <f aca="false">EDT!B52</f>
        <v>Métricas básicas por semana</v>
      </c>
      <c r="C63" s="35" t="str">
        <f aca="false">IF(EDT!E52="","",EDT!E52)</f>
        <v/>
      </c>
      <c r="D63" s="35" t="str">
        <f aca="false">EDT!H52</f>
        <v>1 · Imprescindible</v>
      </c>
      <c r="E63" s="36" t="n">
        <f aca="false">IF(AND(EDT!$J52=E$23,EDT!$M52&lt;&gt;"Recortada"),EDT!$K52,"")</f>
        <v>2</v>
      </c>
      <c r="F63" s="36" t="str">
        <f aca="false">IF(AND(EDT!$J52=F$23,EDT!$M52&lt;&gt;"Recortada"),EDT!$K52,"")</f>
        <v/>
      </c>
      <c r="G63" s="36" t="str">
        <f aca="false">IF(AND(EDT!$J52=G$23,EDT!$M52&lt;&gt;"Recortada"),EDT!$K52,"")</f>
        <v/>
      </c>
      <c r="H63" s="36" t="str">
        <f aca="false">IF(AND(EDT!$J52=H$23,EDT!$M52&lt;&gt;"Recortada"),EDT!$K52,"")</f>
        <v/>
      </c>
      <c r="I63" s="35" t="str">
        <f aca="false">EDT!M52</f>
        <v>Pendiente</v>
      </c>
    </row>
    <row r="64" customFormat="false" ht="15" hidden="false" customHeight="false" outlineLevel="0" collapsed="false">
      <c r="A64" s="35" t="str">
        <f aca="false">EDT!A53</f>
        <v>6.2</v>
      </c>
      <c r="B64" s="29" t="str">
        <f aca="false">EDT!B53</f>
        <v>Comparación entre semanas</v>
      </c>
      <c r="C64" s="35" t="str">
        <f aca="false">IF(EDT!E53="","",EDT!E53)</f>
        <v/>
      </c>
      <c r="D64" s="35" t="str">
        <f aca="false">EDT!H53</f>
        <v>1 · Imprescindible</v>
      </c>
      <c r="E64" s="36" t="n">
        <f aca="false">IF(AND(EDT!$J53=E$23,EDT!$M53&lt;&gt;"Recortada"),EDT!$K53,"")</f>
        <v>2.5</v>
      </c>
      <c r="F64" s="36" t="str">
        <f aca="false">IF(AND(EDT!$J53=F$23,EDT!$M53&lt;&gt;"Recortada"),EDT!$K53,"")</f>
        <v/>
      </c>
      <c r="G64" s="36" t="str">
        <f aca="false">IF(AND(EDT!$J53=G$23,EDT!$M53&lt;&gt;"Recortada"),EDT!$K53,"")</f>
        <v/>
      </c>
      <c r="H64" s="36" t="str">
        <f aca="false">IF(AND(EDT!$J53=H$23,EDT!$M53&lt;&gt;"Recortada"),EDT!$K53,"")</f>
        <v/>
      </c>
      <c r="I64" s="35" t="str">
        <f aca="false">EDT!M53</f>
        <v>Pendiente</v>
      </c>
    </row>
    <row r="65" customFormat="false" ht="15" hidden="false" customHeight="false" outlineLevel="0" collapsed="false">
      <c r="A65" s="35" t="str">
        <f aca="false">EDT!A54</f>
        <v>6.3</v>
      </c>
      <c r="B65" s="29" t="str">
        <f aca="false">EDT!B54</f>
        <v>Pruebas contra el cálculo manual</v>
      </c>
      <c r="C65" s="35" t="str">
        <f aca="false">IF(EDT!E54="","",EDT!E54)</f>
        <v/>
      </c>
      <c r="D65" s="35" t="str">
        <f aca="false">EDT!H54</f>
        <v>2 · Núcleo</v>
      </c>
      <c r="E65" s="36" t="str">
        <f aca="false">IF(AND(EDT!$J54=E$23,EDT!$M54&lt;&gt;"Recortada"),EDT!$K54,"")</f>
        <v/>
      </c>
      <c r="F65" s="36" t="n">
        <f aca="false">IF(AND(EDT!$J54=F$23,EDT!$M54&lt;&gt;"Recortada"),EDT!$K54,"")</f>
        <v>1.5</v>
      </c>
      <c r="G65" s="36" t="str">
        <f aca="false">IF(AND(EDT!$J54=G$23,EDT!$M54&lt;&gt;"Recortada"),EDT!$K54,"")</f>
        <v/>
      </c>
      <c r="H65" s="36" t="str">
        <f aca="false">IF(AND(EDT!$J54=H$23,EDT!$M54&lt;&gt;"Recortada"),EDT!$K54,"")</f>
        <v/>
      </c>
      <c r="I65" s="35" t="str">
        <f aca="false">EDT!M54</f>
        <v>Pendiente</v>
      </c>
    </row>
    <row r="66" customFormat="false" ht="15" hidden="false" customHeight="false" outlineLevel="0" collapsed="false">
      <c r="A66" s="35" t="str">
        <f aca="false">EDT!A56</f>
        <v>7.1</v>
      </c>
      <c r="B66" s="29" t="str">
        <f aca="false">EDT!B56</f>
        <v>Elegir proveedor y modelo (D15)</v>
      </c>
      <c r="C66" s="35" t="str">
        <f aca="false">IF(EDT!E56="","",EDT!E56)</f>
        <v/>
      </c>
      <c r="D66" s="35" t="str">
        <f aca="false">EDT!H56</f>
        <v>1 · Imprescindible</v>
      </c>
      <c r="E66" s="36" t="n">
        <f aca="false">IF(AND(EDT!$J56=E$23,EDT!$M56&lt;&gt;"Recortada"),EDT!$K56,"")</f>
        <v>1.5</v>
      </c>
      <c r="F66" s="36" t="str">
        <f aca="false">IF(AND(EDT!$J56=F$23,EDT!$M56&lt;&gt;"Recortada"),EDT!$K56,"")</f>
        <v/>
      </c>
      <c r="G66" s="36" t="str">
        <f aca="false">IF(AND(EDT!$J56=G$23,EDT!$M56&lt;&gt;"Recortada"),EDT!$K56,"")</f>
        <v/>
      </c>
      <c r="H66" s="36" t="str">
        <f aca="false">IF(AND(EDT!$J56=H$23,EDT!$M56&lt;&gt;"Recortada"),EDT!$K56,"")</f>
        <v/>
      </c>
      <c r="I66" s="35" t="str">
        <f aca="false">EDT!M56</f>
        <v>Pendiente</v>
      </c>
    </row>
    <row r="67" customFormat="false" ht="15" hidden="false" customHeight="false" outlineLevel="0" collapsed="false">
      <c r="A67" s="35" t="str">
        <f aca="false">EDT!A57</f>
        <v>7.2</v>
      </c>
      <c r="B67" s="29" t="str">
        <f aca="false">EDT!B57</f>
        <v>Interfaz de proveedor y adaptador principal</v>
      </c>
      <c r="C67" s="35" t="str">
        <f aca="false">IF(EDT!E57="","",EDT!E57)</f>
        <v/>
      </c>
      <c r="D67" s="35" t="str">
        <f aca="false">EDT!H57</f>
        <v>1 · Imprescindible</v>
      </c>
      <c r="E67" s="36" t="n">
        <f aca="false">IF(AND(EDT!$J57=E$23,EDT!$M57&lt;&gt;"Recortada"),EDT!$K57,"")</f>
        <v>3</v>
      </c>
      <c r="F67" s="36" t="str">
        <f aca="false">IF(AND(EDT!$J57=F$23,EDT!$M57&lt;&gt;"Recortada"),EDT!$K57,"")</f>
        <v/>
      </c>
      <c r="G67" s="36" t="str">
        <f aca="false">IF(AND(EDT!$J57=G$23,EDT!$M57&lt;&gt;"Recortada"),EDT!$K57,"")</f>
        <v/>
      </c>
      <c r="H67" s="36" t="str">
        <f aca="false">IF(AND(EDT!$J57=H$23,EDT!$M57&lt;&gt;"Recortada"),EDT!$K57,"")</f>
        <v/>
      </c>
      <c r="I67" s="35" t="str">
        <f aca="false">EDT!M57</f>
        <v>Pendiente</v>
      </c>
    </row>
    <row r="68" customFormat="false" ht="15" hidden="false" customHeight="false" outlineLevel="0" collapsed="false">
      <c r="A68" s="35" t="str">
        <f aca="false">EDT!A58</f>
        <v>7.3</v>
      </c>
      <c r="B68" s="29" t="str">
        <f aca="false">EDT!B58</f>
        <v>Adaptador de respaldo y selección por configuración</v>
      </c>
      <c r="C68" s="35" t="str">
        <f aca="false">IF(EDT!E58="","",EDT!E58)</f>
        <v/>
      </c>
      <c r="D68" s="35" t="str">
        <f aca="false">EDT!H58</f>
        <v>1 · Imprescindible</v>
      </c>
      <c r="E68" s="36" t="n">
        <f aca="false">IF(AND(EDT!$J58=E$23,EDT!$M58&lt;&gt;"Recortada"),EDT!$K58,"")</f>
        <v>2</v>
      </c>
      <c r="F68" s="36" t="str">
        <f aca="false">IF(AND(EDT!$J58=F$23,EDT!$M58&lt;&gt;"Recortada"),EDT!$K58,"")</f>
        <v/>
      </c>
      <c r="G68" s="36" t="str">
        <f aca="false">IF(AND(EDT!$J58=G$23,EDT!$M58&lt;&gt;"Recortada"),EDT!$K58,"")</f>
        <v/>
      </c>
      <c r="H68" s="36" t="str">
        <f aca="false">IF(AND(EDT!$J58=H$23,EDT!$M58&lt;&gt;"Recortada"),EDT!$K58,"")</f>
        <v/>
      </c>
      <c r="I68" s="35" t="str">
        <f aca="false">EDT!M58</f>
        <v>Pendiente</v>
      </c>
    </row>
    <row r="69" customFormat="false" ht="15" hidden="false" customHeight="false" outlineLevel="0" collapsed="false">
      <c r="A69" s="35" t="str">
        <f aca="false">EDT!A59</f>
        <v>7.4</v>
      </c>
      <c r="B69" s="29" t="str">
        <f aca="false">EDT!B59</f>
        <v>Reintentos y conmutación</v>
      </c>
      <c r="C69" s="35" t="str">
        <f aca="false">IF(EDT!E59="","",EDT!E59)</f>
        <v/>
      </c>
      <c r="D69" s="35" t="str">
        <f aca="false">EDT!H59</f>
        <v>1 · Imprescindible</v>
      </c>
      <c r="E69" s="36" t="n">
        <f aca="false">IF(AND(EDT!$J59=E$23,EDT!$M59&lt;&gt;"Recortada"),EDT!$K59,"")</f>
        <v>2</v>
      </c>
      <c r="F69" s="36" t="str">
        <f aca="false">IF(AND(EDT!$J59=F$23,EDT!$M59&lt;&gt;"Recortada"),EDT!$K59,"")</f>
        <v/>
      </c>
      <c r="G69" s="36" t="str">
        <f aca="false">IF(AND(EDT!$J59=G$23,EDT!$M59&lt;&gt;"Recortada"),EDT!$K59,"")</f>
        <v/>
      </c>
      <c r="H69" s="36" t="str">
        <f aca="false">IF(AND(EDT!$J59=H$23,EDT!$M59&lt;&gt;"Recortada"),EDT!$K59,"")</f>
        <v/>
      </c>
      <c r="I69" s="35" t="str">
        <f aca="false">EDT!M59</f>
        <v>Pendiente</v>
      </c>
    </row>
    <row r="70" customFormat="false" ht="15" hidden="false" customHeight="false" outlineLevel="0" collapsed="false">
      <c r="A70" s="35" t="str">
        <f aca="false">EDT!A60</f>
        <v>7.5</v>
      </c>
      <c r="B70" s="29" t="str">
        <f aca="false">EDT!B60</f>
        <v>Forzar los tres fallos para la demo</v>
      </c>
      <c r="C70" s="35" t="str">
        <f aca="false">IF(EDT!E60="","",EDT!E60)</f>
        <v/>
      </c>
      <c r="D70" s="35" t="str">
        <f aca="false">EDT!H60</f>
        <v>1 · Imprescindible</v>
      </c>
      <c r="E70" s="36" t="str">
        <f aca="false">IF(AND(EDT!$J60=E$23,EDT!$M60&lt;&gt;"Recortada"),EDT!$K60,"")</f>
        <v/>
      </c>
      <c r="F70" s="36" t="n">
        <f aca="false">IF(AND(EDT!$J60=F$23,EDT!$M60&lt;&gt;"Recortada"),EDT!$K60,"")</f>
        <v>1.5</v>
      </c>
      <c r="G70" s="36" t="str">
        <f aca="false">IF(AND(EDT!$J60=G$23,EDT!$M60&lt;&gt;"Recortada"),EDT!$K60,"")</f>
        <v/>
      </c>
      <c r="H70" s="36" t="str">
        <f aca="false">IF(AND(EDT!$J60=H$23,EDT!$M60&lt;&gt;"Recortada"),EDT!$K60,"")</f>
        <v/>
      </c>
      <c r="I70" s="35" t="str">
        <f aca="false">EDT!M60</f>
        <v>Pendiente</v>
      </c>
    </row>
    <row r="71" customFormat="false" ht="15" hidden="false" customHeight="false" outlineLevel="0" collapsed="false">
      <c r="A71" s="35" t="str">
        <f aca="false">EDT!A61</f>
        <v>7.6</v>
      </c>
      <c r="B71" s="29" t="str">
        <f aca="false">EDT!B61</f>
        <v>Proveedor, modelo, tokens y costo por llamada</v>
      </c>
      <c r="C71" s="35" t="str">
        <f aca="false">IF(EDT!E61="","",EDT!E61)</f>
        <v/>
      </c>
      <c r="D71" s="35" t="str">
        <f aca="false">EDT!H61</f>
        <v>2 · Núcleo</v>
      </c>
      <c r="E71" s="36" t="n">
        <f aca="false">IF(AND(EDT!$J61=E$23,EDT!$M61&lt;&gt;"Recortada"),EDT!$K61,"")</f>
        <v>1</v>
      </c>
      <c r="F71" s="36" t="str">
        <f aca="false">IF(AND(EDT!$J61=F$23,EDT!$M61&lt;&gt;"Recortada"),EDT!$K61,"")</f>
        <v/>
      </c>
      <c r="G71" s="36" t="str">
        <f aca="false">IF(AND(EDT!$J61=G$23,EDT!$M61&lt;&gt;"Recortada"),EDT!$K61,"")</f>
        <v/>
      </c>
      <c r="H71" s="36" t="str">
        <f aca="false">IF(AND(EDT!$J61=H$23,EDT!$M61&lt;&gt;"Recortada"),EDT!$K61,"")</f>
        <v/>
      </c>
      <c r="I71" s="35" t="str">
        <f aca="false">EDT!M61</f>
        <v>Pendiente</v>
      </c>
    </row>
    <row r="72" customFormat="false" ht="15" hidden="false" customHeight="false" outlineLevel="0" collapsed="false">
      <c r="A72" s="35" t="str">
        <f aca="false">EDT!A63</f>
        <v>8.1</v>
      </c>
      <c r="B72" s="29" t="str">
        <f aca="false">EDT!B63</f>
        <v>Inventario de herramientas</v>
      </c>
      <c r="C72" s="35" t="str">
        <f aca="false">IF(EDT!E63="","",EDT!E63)</f>
        <v/>
      </c>
      <c r="D72" s="35" t="str">
        <f aca="false">EDT!H63</f>
        <v>1 · Imprescindible</v>
      </c>
      <c r="E72" s="36" t="n">
        <f aca="false">IF(AND(EDT!$J63=E$23,EDT!$M63&lt;&gt;"Recortada"),EDT!$K63,"")</f>
        <v>1.5</v>
      </c>
      <c r="F72" s="36" t="str">
        <f aca="false">IF(AND(EDT!$J63=F$23,EDT!$M63&lt;&gt;"Recortada"),EDT!$K63,"")</f>
        <v/>
      </c>
      <c r="G72" s="36" t="str">
        <f aca="false">IF(AND(EDT!$J63=G$23,EDT!$M63&lt;&gt;"Recortada"),EDT!$K63,"")</f>
        <v/>
      </c>
      <c r="H72" s="36" t="str">
        <f aca="false">IF(AND(EDT!$J63=H$23,EDT!$M63&lt;&gt;"Recortada"),EDT!$K63,"")</f>
        <v/>
      </c>
      <c r="I72" s="35" t="str">
        <f aca="false">EDT!M63</f>
        <v>Pendiente</v>
      </c>
    </row>
    <row r="73" customFormat="false" ht="15" hidden="false" customHeight="false" outlineLevel="0" collapsed="false">
      <c r="A73" s="35" t="str">
        <f aca="false">EDT!A64</f>
        <v>8.2</v>
      </c>
      <c r="B73" s="29" t="str">
        <f aca="false">EDT!B64</f>
        <v>Herramientas de lectura</v>
      </c>
      <c r="C73" s="35" t="str">
        <f aca="false">IF(EDT!E64="","",EDT!E64)</f>
        <v/>
      </c>
      <c r="D73" s="35" t="str">
        <f aca="false">EDT!H64</f>
        <v>1 · Imprescindible</v>
      </c>
      <c r="E73" s="36" t="n">
        <f aca="false">IF(AND(EDT!$J64=E$23,EDT!$M64&lt;&gt;"Recortada"),EDT!$K64,"")</f>
        <v>2.5</v>
      </c>
      <c r="F73" s="36" t="str">
        <f aca="false">IF(AND(EDT!$J64=F$23,EDT!$M64&lt;&gt;"Recortada"),EDT!$K64,"")</f>
        <v/>
      </c>
      <c r="G73" s="36" t="str">
        <f aca="false">IF(AND(EDT!$J64=G$23,EDT!$M64&lt;&gt;"Recortada"),EDT!$K64,"")</f>
        <v/>
      </c>
      <c r="H73" s="36" t="str">
        <f aca="false">IF(AND(EDT!$J64=H$23,EDT!$M64&lt;&gt;"Recortada"),EDT!$K64,"")</f>
        <v/>
      </c>
      <c r="I73" s="35" t="str">
        <f aca="false">EDT!M64</f>
        <v>Pendiente</v>
      </c>
    </row>
    <row r="74" customFormat="false" ht="15" hidden="false" customHeight="false" outlineLevel="0" collapsed="false">
      <c r="A74" s="35" t="str">
        <f aca="false">EDT!A65</f>
        <v>8.3</v>
      </c>
      <c r="B74" s="29" t="str">
        <f aca="false">EDT!B65</f>
        <v>Herramienta de escritura</v>
      </c>
      <c r="C74" s="35" t="str">
        <f aca="false">IF(EDT!E65="","",EDT!E65)</f>
        <v/>
      </c>
      <c r="D74" s="35" t="str">
        <f aca="false">EDT!H65</f>
        <v>1 · Imprescindible</v>
      </c>
      <c r="E74" s="36" t="n">
        <f aca="false">IF(AND(EDT!$J65=E$23,EDT!$M65&lt;&gt;"Recortada"),EDT!$K65,"")</f>
        <v>1.5</v>
      </c>
      <c r="F74" s="36" t="str">
        <f aca="false">IF(AND(EDT!$J65=F$23,EDT!$M65&lt;&gt;"Recortada"),EDT!$K65,"")</f>
        <v/>
      </c>
      <c r="G74" s="36" t="str">
        <f aca="false">IF(AND(EDT!$J65=G$23,EDT!$M65&lt;&gt;"Recortada"),EDT!$K65,"")</f>
        <v/>
      </c>
      <c r="H74" s="36" t="str">
        <f aca="false">IF(AND(EDT!$J65=H$23,EDT!$M65&lt;&gt;"Recortada"),EDT!$K65,"")</f>
        <v/>
      </c>
      <c r="I74" s="35" t="str">
        <f aca="false">EDT!M65</f>
        <v>Pendiente</v>
      </c>
    </row>
    <row r="75" customFormat="false" ht="15" hidden="false" customHeight="false" outlineLevel="0" collapsed="false">
      <c r="A75" s="35" t="str">
        <f aca="false">EDT!A66</f>
        <v>8.4</v>
      </c>
      <c r="B75" s="29" t="str">
        <f aca="false">EDT!B66</f>
        <v>Bucle del agente</v>
      </c>
      <c r="C75" s="35" t="str">
        <f aca="false">IF(EDT!E66="","",EDT!E66)</f>
        <v/>
      </c>
      <c r="D75" s="35" t="str">
        <f aca="false">EDT!H66</f>
        <v>1 · Imprescindible</v>
      </c>
      <c r="E75" s="36" t="n">
        <f aca="false">IF(AND(EDT!$J66=E$23,EDT!$M66&lt;&gt;"Recortada"),EDT!$K66,"")</f>
        <v>3</v>
      </c>
      <c r="F75" s="36" t="str">
        <f aca="false">IF(AND(EDT!$J66=F$23,EDT!$M66&lt;&gt;"Recortada"),EDT!$K66,"")</f>
        <v/>
      </c>
      <c r="G75" s="36" t="str">
        <f aca="false">IF(AND(EDT!$J66=G$23,EDT!$M66&lt;&gt;"Recortada"),EDT!$K66,"")</f>
        <v/>
      </c>
      <c r="H75" s="36" t="str">
        <f aca="false">IF(AND(EDT!$J66=H$23,EDT!$M66&lt;&gt;"Recortada"),EDT!$K66,"")</f>
        <v/>
      </c>
      <c r="I75" s="35" t="str">
        <f aca="false">EDT!M66</f>
        <v>Pendiente</v>
      </c>
    </row>
    <row r="76" customFormat="false" ht="15" hidden="false" customHeight="false" outlineLevel="0" collapsed="false">
      <c r="A76" s="35" t="str">
        <f aca="false">EDT!A67</f>
        <v>8.5</v>
      </c>
      <c r="B76" s="29" t="str">
        <f aca="false">EDT!B67</f>
        <v>Los cuatro límites</v>
      </c>
      <c r="C76" s="35" t="str">
        <f aca="false">IF(EDT!E67="","",EDT!E67)</f>
        <v/>
      </c>
      <c r="D76" s="35" t="str">
        <f aca="false">EDT!H67</f>
        <v>1 · Imprescindible</v>
      </c>
      <c r="E76" s="36" t="n">
        <f aca="false">IF(AND(EDT!$J67=E$23,EDT!$M67&lt;&gt;"Recortada"),EDT!$K67,"")</f>
        <v>2.5</v>
      </c>
      <c r="F76" s="36" t="str">
        <f aca="false">IF(AND(EDT!$J67=F$23,EDT!$M67&lt;&gt;"Recortada"),EDT!$K67,"")</f>
        <v/>
      </c>
      <c r="G76" s="36" t="str">
        <f aca="false">IF(AND(EDT!$J67=G$23,EDT!$M67&lt;&gt;"Recortada"),EDT!$K67,"")</f>
        <v/>
      </c>
      <c r="H76" s="36" t="str">
        <f aca="false">IF(AND(EDT!$J67=H$23,EDT!$M67&lt;&gt;"Recortada"),EDT!$K67,"")</f>
        <v/>
      </c>
      <c r="I76" s="35" t="str">
        <f aca="false">EDT!M67</f>
        <v>Pendiente</v>
      </c>
    </row>
    <row r="77" customFormat="false" ht="15" hidden="false" customHeight="false" outlineLevel="0" collapsed="false">
      <c r="A77" s="35" t="str">
        <f aca="false">EDT!A68</f>
        <v>8.6</v>
      </c>
      <c r="B77" s="29" t="str">
        <f aca="false">EDT!B68</f>
        <v>Criterio de parada e INCOMPLETO</v>
      </c>
      <c r="C77" s="35" t="str">
        <f aca="false">IF(EDT!E68="","",EDT!E68)</f>
        <v/>
      </c>
      <c r="D77" s="35" t="str">
        <f aca="false">EDT!H68</f>
        <v>1 · Imprescindible</v>
      </c>
      <c r="E77" s="36" t="n">
        <f aca="false">IF(AND(EDT!$J68=E$23,EDT!$M68&lt;&gt;"Recortada"),EDT!$K68,"")</f>
        <v>1.5</v>
      </c>
      <c r="F77" s="36" t="str">
        <f aca="false">IF(AND(EDT!$J68=F$23,EDT!$M68&lt;&gt;"Recortada"),EDT!$K68,"")</f>
        <v/>
      </c>
      <c r="G77" s="36" t="str">
        <f aca="false">IF(AND(EDT!$J68=G$23,EDT!$M68&lt;&gt;"Recortada"),EDT!$K68,"")</f>
        <v/>
      </c>
      <c r="H77" s="36" t="str">
        <f aca="false">IF(AND(EDT!$J68=H$23,EDT!$M68&lt;&gt;"Recortada"),EDT!$K68,"")</f>
        <v/>
      </c>
      <c r="I77" s="35" t="str">
        <f aca="false">EDT!M68</f>
        <v>Pendiente</v>
      </c>
    </row>
    <row r="78" customFormat="false" ht="15" hidden="false" customHeight="false" outlineLevel="0" collapsed="false">
      <c r="A78" s="35" t="str">
        <f aca="false">EDT!A69</f>
        <v>8.7</v>
      </c>
      <c r="B78" s="29" t="str">
        <f aca="false">EDT!B69</f>
        <v>Prompt del sistema</v>
      </c>
      <c r="C78" s="35" t="str">
        <f aca="false">IF(EDT!E69="","",EDT!E69)</f>
        <v/>
      </c>
      <c r="D78" s="35" t="str">
        <f aca="false">EDT!H69</f>
        <v>1 · Imprescindible</v>
      </c>
      <c r="E78" s="36" t="n">
        <f aca="false">IF(AND(EDT!$J69=E$23,EDT!$M69&lt;&gt;"Recortada"),EDT!$K69,"")</f>
        <v>2</v>
      </c>
      <c r="F78" s="36" t="str">
        <f aca="false">IF(AND(EDT!$J69=F$23,EDT!$M69&lt;&gt;"Recortada"),EDT!$K69,"")</f>
        <v/>
      </c>
      <c r="G78" s="36" t="str">
        <f aca="false">IF(AND(EDT!$J69=G$23,EDT!$M69&lt;&gt;"Recortada"),EDT!$K69,"")</f>
        <v/>
      </c>
      <c r="H78" s="36" t="str">
        <f aca="false">IF(AND(EDT!$J69=H$23,EDT!$M69&lt;&gt;"Recortada"),EDT!$K69,"")</f>
        <v/>
      </c>
      <c r="I78" s="35" t="str">
        <f aca="false">EDT!M69</f>
        <v>Pendiente</v>
      </c>
    </row>
    <row r="79" customFormat="false" ht="15" hidden="false" customHeight="false" outlineLevel="0" collapsed="false">
      <c r="A79" s="35" t="str">
        <f aca="false">EDT!A70</f>
        <v>8.8</v>
      </c>
      <c r="B79" s="29" t="str">
        <f aca="false">EDT!B70</f>
        <v>Esquema del informe y validación</v>
      </c>
      <c r="C79" s="35" t="str">
        <f aca="false">IF(EDT!E70="","",EDT!E70)</f>
        <v/>
      </c>
      <c r="D79" s="35" t="str">
        <f aca="false">EDT!H70</f>
        <v>1 · Imprescindible</v>
      </c>
      <c r="E79" s="36" t="n">
        <f aca="false">IF(AND(EDT!$J70=E$23,EDT!$M70&lt;&gt;"Recortada"),EDT!$K70,"")</f>
        <v>3</v>
      </c>
      <c r="F79" s="36" t="str">
        <f aca="false">IF(AND(EDT!$J70=F$23,EDT!$M70&lt;&gt;"Recortada"),EDT!$K70,"")</f>
        <v/>
      </c>
      <c r="G79" s="36" t="str">
        <f aca="false">IF(AND(EDT!$J70=G$23,EDT!$M70&lt;&gt;"Recortada"),EDT!$K70,"")</f>
        <v/>
      </c>
      <c r="H79" s="36" t="str">
        <f aca="false">IF(AND(EDT!$J70=H$23,EDT!$M70&lt;&gt;"Recortada"),EDT!$K70,"")</f>
        <v/>
      </c>
      <c r="I79" s="35" t="str">
        <f aca="false">EDT!M70</f>
        <v>Pendiente</v>
      </c>
    </row>
    <row r="80" customFormat="false" ht="15" hidden="false" customHeight="false" outlineLevel="0" collapsed="false">
      <c r="A80" s="35" t="str">
        <f aca="false">EDT!A71</f>
        <v>8.9</v>
      </c>
      <c r="B80" s="29" t="str">
        <f aca="false">EDT!B71</f>
        <v>Validador de cifras y de citas</v>
      </c>
      <c r="C80" s="35" t="str">
        <f aca="false">IF(EDT!E71="","",EDT!E71)</f>
        <v/>
      </c>
      <c r="D80" s="35" t="str">
        <f aca="false">EDT!H71</f>
        <v>1 · Imprescindible</v>
      </c>
      <c r="E80" s="36" t="str">
        <f aca="false">IF(AND(EDT!$J71=E$23,EDT!$M71&lt;&gt;"Recortada"),EDT!$K71,"")</f>
        <v/>
      </c>
      <c r="F80" s="36" t="n">
        <f aca="false">IF(AND(EDT!$J71=F$23,EDT!$M71&lt;&gt;"Recortada"),EDT!$K71,"")</f>
        <v>2.5</v>
      </c>
      <c r="G80" s="36" t="str">
        <f aca="false">IF(AND(EDT!$J71=G$23,EDT!$M71&lt;&gt;"Recortada"),EDT!$K71,"")</f>
        <v/>
      </c>
      <c r="H80" s="36" t="str">
        <f aca="false">IF(AND(EDT!$J71=H$23,EDT!$M71&lt;&gt;"Recortada"),EDT!$K71,"")</f>
        <v/>
      </c>
      <c r="I80" s="35" t="str">
        <f aca="false">EDT!M71</f>
        <v>Pendiente</v>
      </c>
    </row>
    <row r="81" customFormat="false" ht="15" hidden="false" customHeight="false" outlineLevel="0" collapsed="false">
      <c r="A81" s="35" t="str">
        <f aca="false">EDT!A72</f>
        <v>8.10</v>
      </c>
      <c r="B81" s="29" t="str">
        <f aca="false">EDT!B72</f>
        <v>Ejecución en segundo plano</v>
      </c>
      <c r="C81" s="35" t="str">
        <f aca="false">IF(EDT!E72="","",EDT!E72)</f>
        <v/>
      </c>
      <c r="D81" s="35" t="str">
        <f aca="false">EDT!H72</f>
        <v>1 · Imprescindible</v>
      </c>
      <c r="E81" s="36" t="str">
        <f aca="false">IF(AND(EDT!$J72=E$23,EDT!$M72&lt;&gt;"Recortada"),EDT!$K72,"")</f>
        <v/>
      </c>
      <c r="F81" s="36" t="n">
        <f aca="false">IF(AND(EDT!$J72=F$23,EDT!$M72&lt;&gt;"Recortada"),EDT!$K72,"")</f>
        <v>3</v>
      </c>
      <c r="G81" s="36" t="str">
        <f aca="false">IF(AND(EDT!$J72=G$23,EDT!$M72&lt;&gt;"Recortada"),EDT!$K72,"")</f>
        <v/>
      </c>
      <c r="H81" s="36" t="str">
        <f aca="false">IF(AND(EDT!$J72=H$23,EDT!$M72&lt;&gt;"Recortada"),EDT!$K72,"")</f>
        <v/>
      </c>
      <c r="I81" s="35" t="str">
        <f aca="false">EDT!M72</f>
        <v>Pendiente</v>
      </c>
    </row>
    <row r="82" customFormat="false" ht="15" hidden="false" customHeight="false" outlineLevel="0" collapsed="false">
      <c r="A82" s="35" t="str">
        <f aca="false">EDT!A73</f>
        <v>8.11</v>
      </c>
      <c r="B82" s="29" t="str">
        <f aca="false">EDT!B73</f>
        <v>Progreso por SSE</v>
      </c>
      <c r="C82" s="35" t="str">
        <f aca="false">IF(EDT!E73="","",EDT!E73)</f>
        <v/>
      </c>
      <c r="D82" s="35" t="str">
        <f aca="false">EDT!H73</f>
        <v>1 · Imprescindible</v>
      </c>
      <c r="E82" s="36" t="str">
        <f aca="false">IF(AND(EDT!$J73=E$23,EDT!$M73&lt;&gt;"Recortada"),EDT!$K73,"")</f>
        <v/>
      </c>
      <c r="F82" s="36" t="n">
        <f aca="false">IF(AND(EDT!$J73=F$23,EDT!$M73&lt;&gt;"Recortada"),EDT!$K73,"")</f>
        <v>2</v>
      </c>
      <c r="G82" s="36" t="str">
        <f aca="false">IF(AND(EDT!$J73=G$23,EDT!$M73&lt;&gt;"Recortada"),EDT!$K73,"")</f>
        <v/>
      </c>
      <c r="H82" s="36" t="str">
        <f aca="false">IF(AND(EDT!$J73=H$23,EDT!$M73&lt;&gt;"Recortada"),EDT!$K73,"")</f>
        <v/>
      </c>
      <c r="I82" s="35" t="str">
        <f aca="false">EDT!M73</f>
        <v>Pendiente</v>
      </c>
    </row>
    <row r="83" customFormat="false" ht="15" hidden="false" customHeight="false" outlineLevel="0" collapsed="false">
      <c r="A83" s="35" t="str">
        <f aca="false">EDT!A74</f>
        <v>8.12</v>
      </c>
      <c r="B83" s="29" t="str">
        <f aca="false">EDT!B74</f>
        <v>Registro de la traza</v>
      </c>
      <c r="C83" s="35" t="str">
        <f aca="false">IF(EDT!E74="","",EDT!E74)</f>
        <v/>
      </c>
      <c r="D83" s="35" t="str">
        <f aca="false">EDT!H74</f>
        <v>1 · Imprescindible</v>
      </c>
      <c r="E83" s="36" t="n">
        <f aca="false">IF(AND(EDT!$J74=E$23,EDT!$M74&lt;&gt;"Recortada"),EDT!$K74,"")</f>
        <v>1.5</v>
      </c>
      <c r="F83" s="36" t="str">
        <f aca="false">IF(AND(EDT!$J74=F$23,EDT!$M74&lt;&gt;"Recortada"),EDT!$K74,"")</f>
        <v/>
      </c>
      <c r="G83" s="36" t="str">
        <f aca="false">IF(AND(EDT!$J74=G$23,EDT!$M74&lt;&gt;"Recortada"),EDT!$K74,"")</f>
        <v/>
      </c>
      <c r="H83" s="36" t="str">
        <f aca="false">IF(AND(EDT!$J74=H$23,EDT!$M74&lt;&gt;"Recortada"),EDT!$K74,"")</f>
        <v/>
      </c>
      <c r="I83" s="35" t="str">
        <f aca="false">EDT!M74</f>
        <v>Pendiente</v>
      </c>
    </row>
    <row r="84" customFormat="false" ht="15" hidden="false" customHeight="false" outlineLevel="0" collapsed="false">
      <c r="A84" s="35" t="str">
        <f aca="false">EDT!A75</f>
        <v>8.13</v>
      </c>
      <c r="B84" s="29" t="str">
        <f aca="false">EDT!B75</f>
        <v>Rechazo de diagnóstico y dosis</v>
      </c>
      <c r="C84" s="35" t="str">
        <f aca="false">IF(EDT!E75="","",EDT!E75)</f>
        <v/>
      </c>
      <c r="D84" s="35" t="str">
        <f aca="false">EDT!H75</f>
        <v>1 · Imprescindible</v>
      </c>
      <c r="E84" s="36" t="str">
        <f aca="false">IF(AND(EDT!$J75=E$23,EDT!$M75&lt;&gt;"Recortada"),EDT!$K75,"")</f>
        <v/>
      </c>
      <c r="F84" s="36" t="n">
        <f aca="false">IF(AND(EDT!$J75=F$23,EDT!$M75&lt;&gt;"Recortada"),EDT!$K75,"")</f>
        <v>1</v>
      </c>
      <c r="G84" s="36" t="str">
        <f aca="false">IF(AND(EDT!$J75=G$23,EDT!$M75&lt;&gt;"Recortada"),EDT!$K75,"")</f>
        <v/>
      </c>
      <c r="H84" s="36" t="str">
        <f aca="false">IF(AND(EDT!$J75=H$23,EDT!$M75&lt;&gt;"Recortada"),EDT!$K75,"")</f>
        <v/>
      </c>
      <c r="I84" s="35" t="str">
        <f aca="false">EDT!M75</f>
        <v>Pendiente</v>
      </c>
    </row>
    <row r="85" customFormat="false" ht="15" hidden="false" customHeight="false" outlineLevel="0" collapsed="false">
      <c r="A85" s="35" t="str">
        <f aca="false">EDT!A77</f>
        <v>9.1</v>
      </c>
      <c r="B85" s="29" t="str">
        <f aca="false">EDT!B77</f>
        <v>API: pedir un informe semanal</v>
      </c>
      <c r="C85" s="35" t="str">
        <f aca="false">IF(EDT!E77="","",EDT!E77)</f>
        <v/>
      </c>
      <c r="D85" s="35" t="str">
        <f aca="false">EDT!H77</f>
        <v>1 · Imprescindible</v>
      </c>
      <c r="E85" s="36" t="str">
        <f aca="false">IF(AND(EDT!$J77=E$23,EDT!$M77&lt;&gt;"Recortada"),EDT!$K77,"")</f>
        <v/>
      </c>
      <c r="F85" s="36" t="n">
        <f aca="false">IF(AND(EDT!$J77=F$23,EDT!$M77&lt;&gt;"Recortada"),EDT!$K77,"")</f>
        <v>1.5</v>
      </c>
      <c r="G85" s="36" t="str">
        <f aca="false">IF(AND(EDT!$J77=G$23,EDT!$M77&lt;&gt;"Recortada"),EDT!$K77,"")</f>
        <v/>
      </c>
      <c r="H85" s="36" t="str">
        <f aca="false">IF(AND(EDT!$J77=H$23,EDT!$M77&lt;&gt;"Recortada"),EDT!$K77,"")</f>
        <v/>
      </c>
      <c r="I85" s="35" t="str">
        <f aca="false">EDT!M77</f>
        <v>Pendiente</v>
      </c>
    </row>
    <row r="86" customFormat="false" ht="15" hidden="false" customHeight="false" outlineLevel="0" collapsed="false">
      <c r="A86" s="35" t="str">
        <f aca="false">EDT!A78</f>
        <v>9.2</v>
      </c>
      <c r="B86" s="29" t="str">
        <f aca="false">EDT!B78</f>
        <v>Estados y transiciones del informe</v>
      </c>
      <c r="C86" s="35" t="str">
        <f aca="false">IF(EDT!E78="","",EDT!E78)</f>
        <v/>
      </c>
      <c r="D86" s="35" t="str">
        <f aca="false">EDT!H78</f>
        <v>1 · Imprescindible</v>
      </c>
      <c r="E86" s="36" t="str">
        <f aca="false">IF(AND(EDT!$J78=E$23,EDT!$M78&lt;&gt;"Recortada"),EDT!$K78,"")</f>
        <v/>
      </c>
      <c r="F86" s="36" t="n">
        <f aca="false">IF(AND(EDT!$J78=F$23,EDT!$M78&lt;&gt;"Recortada"),EDT!$K78,"")</f>
        <v>2</v>
      </c>
      <c r="G86" s="36" t="str">
        <f aca="false">IF(AND(EDT!$J78=G$23,EDT!$M78&lt;&gt;"Recortada"),EDT!$K78,"")</f>
        <v/>
      </c>
      <c r="H86" s="36" t="str">
        <f aca="false">IF(AND(EDT!$J78=H$23,EDT!$M78&lt;&gt;"Recortada"),EDT!$K78,"")</f>
        <v/>
      </c>
      <c r="I86" s="35" t="str">
        <f aca="false">EDT!M78</f>
        <v>Pendiente</v>
      </c>
    </row>
    <row r="87" customFormat="false" ht="15" hidden="false" customHeight="false" outlineLevel="0" collapsed="false">
      <c r="A87" s="35" t="str">
        <f aca="false">EDT!A79</f>
        <v>9.3</v>
      </c>
      <c r="B87" s="29" t="str">
        <f aca="false">EDT!B79</f>
        <v>Editar el borrador con versiones</v>
      </c>
      <c r="C87" s="35" t="str">
        <f aca="false">IF(EDT!E79="","",EDT!E79)</f>
        <v/>
      </c>
      <c r="D87" s="35" t="str">
        <f aca="false">EDT!H79</f>
        <v>2 · Núcleo</v>
      </c>
      <c r="E87" s="36" t="str">
        <f aca="false">IF(AND(EDT!$J79=E$23,EDT!$M79&lt;&gt;"Recortada"),EDT!$K79,"")</f>
        <v/>
      </c>
      <c r="F87" s="36" t="n">
        <f aca="false">IF(AND(EDT!$J79=F$23,EDT!$M79&lt;&gt;"Recortada"),EDT!$K79,"")</f>
        <v>2</v>
      </c>
      <c r="G87" s="36" t="str">
        <f aca="false">IF(AND(EDT!$J79=G$23,EDT!$M79&lt;&gt;"Recortada"),EDT!$K79,"")</f>
        <v/>
      </c>
      <c r="H87" s="36" t="str">
        <f aca="false">IF(AND(EDT!$J79=H$23,EDT!$M79&lt;&gt;"Recortada"),EDT!$K79,"")</f>
        <v/>
      </c>
      <c r="I87" s="35" t="str">
        <f aca="false">EDT!M79</f>
        <v>Pendiente</v>
      </c>
    </row>
    <row r="88" customFormat="false" ht="15" hidden="false" customHeight="false" outlineLevel="0" collapsed="false">
      <c r="A88" s="35" t="str">
        <f aca="false">EDT!A80</f>
        <v>9.4</v>
      </c>
      <c r="B88" s="29" t="str">
        <f aca="false">EDT!B80</f>
        <v>Aprobar</v>
      </c>
      <c r="C88" s="35" t="str">
        <f aca="false">IF(EDT!E80="","",EDT!E80)</f>
        <v/>
      </c>
      <c r="D88" s="35" t="str">
        <f aca="false">EDT!H80</f>
        <v>1 · Imprescindible</v>
      </c>
      <c r="E88" s="36" t="str">
        <f aca="false">IF(AND(EDT!$J80=E$23,EDT!$M80&lt;&gt;"Recortada"),EDT!$K80,"")</f>
        <v/>
      </c>
      <c r="F88" s="36" t="n">
        <f aca="false">IF(AND(EDT!$J80=F$23,EDT!$M80&lt;&gt;"Recortada"),EDT!$K80,"")</f>
        <v>1.5</v>
      </c>
      <c r="G88" s="36" t="str">
        <f aca="false">IF(AND(EDT!$J80=G$23,EDT!$M80&lt;&gt;"Recortada"),EDT!$K80,"")</f>
        <v/>
      </c>
      <c r="H88" s="36" t="str">
        <f aca="false">IF(AND(EDT!$J80=H$23,EDT!$M80&lt;&gt;"Recortada"),EDT!$K80,"")</f>
        <v/>
      </c>
      <c r="I88" s="35" t="str">
        <f aca="false">EDT!M80</f>
        <v>Pendiente</v>
      </c>
    </row>
    <row r="89" customFormat="false" ht="15" hidden="false" customHeight="false" outlineLevel="0" collapsed="false">
      <c r="A89" s="35" t="str">
        <f aca="false">EDT!A81</f>
        <v>9.5</v>
      </c>
      <c r="B89" s="29" t="str">
        <f aca="false">EDT!B81</f>
        <v>Pantalla: pedir informe y ver el progreso</v>
      </c>
      <c r="C89" s="35" t="str">
        <f aca="false">IF(EDT!E81="","",EDT!E81)</f>
        <v/>
      </c>
      <c r="D89" s="35" t="str">
        <f aca="false">EDT!H81</f>
        <v>1 · Imprescindible</v>
      </c>
      <c r="E89" s="36" t="str">
        <f aca="false">IF(AND(EDT!$J81=E$23,EDT!$M81&lt;&gt;"Recortada"),EDT!$K81,"")</f>
        <v/>
      </c>
      <c r="F89" s="36" t="n">
        <f aca="false">IF(AND(EDT!$J81=F$23,EDT!$M81&lt;&gt;"Recortada"),EDT!$K81,"")</f>
        <v>2.5</v>
      </c>
      <c r="G89" s="36" t="str">
        <f aca="false">IF(AND(EDT!$J81=G$23,EDT!$M81&lt;&gt;"Recortada"),EDT!$K81,"")</f>
        <v/>
      </c>
      <c r="H89" s="36" t="str">
        <f aca="false">IF(AND(EDT!$J81=H$23,EDT!$M81&lt;&gt;"Recortada"),EDT!$K81,"")</f>
        <v/>
      </c>
      <c r="I89" s="35" t="str">
        <f aca="false">EDT!M81</f>
        <v>Pendiente</v>
      </c>
    </row>
    <row r="90" customFormat="false" ht="15" hidden="false" customHeight="false" outlineLevel="0" collapsed="false">
      <c r="A90" s="35" t="str">
        <f aca="false">EDT!A82</f>
        <v>9.6</v>
      </c>
      <c r="B90" s="29" t="str">
        <f aca="false">EDT!B82</f>
        <v>Pantalla: informe en lenguaje claro</v>
      </c>
      <c r="C90" s="35" t="str">
        <f aca="false">IF(EDT!E82="","",EDT!E82)</f>
        <v/>
      </c>
      <c r="D90" s="35" t="str">
        <f aca="false">EDT!H82</f>
        <v>1 · Imprescindible</v>
      </c>
      <c r="E90" s="36" t="str">
        <f aca="false">IF(AND(EDT!$J82=E$23,EDT!$M82&lt;&gt;"Recortada"),EDT!$K82,"")</f>
        <v/>
      </c>
      <c r="F90" s="36" t="n">
        <f aca="false">IF(AND(EDT!$J82=F$23,EDT!$M82&lt;&gt;"Recortada"),EDT!$K82,"")</f>
        <v>2</v>
      </c>
      <c r="G90" s="36" t="str">
        <f aca="false">IF(AND(EDT!$J82=G$23,EDT!$M82&lt;&gt;"Recortada"),EDT!$K82,"")</f>
        <v/>
      </c>
      <c r="H90" s="36" t="str">
        <f aca="false">IF(AND(EDT!$J82=H$23,EDT!$M82&lt;&gt;"Recortada"),EDT!$K82,"")</f>
        <v/>
      </c>
      <c r="I90" s="35" t="str">
        <f aca="false">EDT!M82</f>
        <v>Pendiente</v>
      </c>
    </row>
    <row r="91" customFormat="false" ht="15" hidden="false" customHeight="false" outlineLevel="0" collapsed="false">
      <c r="A91" s="35" t="str">
        <f aca="false">EDT!A83</f>
        <v>9.7</v>
      </c>
      <c r="B91" s="29" t="str">
        <f aca="false">EDT!B83</f>
        <v>Pantalla: evidencia a un clic</v>
      </c>
      <c r="C91" s="35" t="str">
        <f aca="false">IF(EDT!E83="","",EDT!E83)</f>
        <v/>
      </c>
      <c r="D91" s="35" t="str">
        <f aca="false">EDT!H83</f>
        <v>1 · Imprescindible</v>
      </c>
      <c r="E91" s="36" t="str">
        <f aca="false">IF(AND(EDT!$J83=E$23,EDT!$M83&lt;&gt;"Recortada"),EDT!$K83,"")</f>
        <v/>
      </c>
      <c r="F91" s="36" t="n">
        <f aca="false">IF(AND(EDT!$J83=F$23,EDT!$M83&lt;&gt;"Recortada"),EDT!$K83,"")</f>
        <v>2</v>
      </c>
      <c r="G91" s="36" t="str">
        <f aca="false">IF(AND(EDT!$J83=G$23,EDT!$M83&lt;&gt;"Recortada"),EDT!$K83,"")</f>
        <v/>
      </c>
      <c r="H91" s="36" t="str">
        <f aca="false">IF(AND(EDT!$J83=H$23,EDT!$M83&lt;&gt;"Recortada"),EDT!$K83,"")</f>
        <v/>
      </c>
      <c r="I91" s="35" t="str">
        <f aca="false">EDT!M83</f>
        <v>Pendiente</v>
      </c>
    </row>
    <row r="92" customFormat="false" ht="15" hidden="false" customHeight="false" outlineLevel="0" collapsed="false">
      <c r="A92" s="35" t="str">
        <f aca="false">EDT!A84</f>
        <v>9.8</v>
      </c>
      <c r="B92" s="29" t="str">
        <f aca="false">EDT!B84</f>
        <v>Pantalla: editar el borrador y aprobar</v>
      </c>
      <c r="C92" s="35" t="str">
        <f aca="false">IF(EDT!E84="","",EDT!E84)</f>
        <v/>
      </c>
      <c r="D92" s="35" t="str">
        <f aca="false">EDT!H84</f>
        <v>1 · Imprescindible</v>
      </c>
      <c r="E92" s="36" t="str">
        <f aca="false">IF(AND(EDT!$J84=E$23,EDT!$M84&lt;&gt;"Recortada"),EDT!$K84,"")</f>
        <v/>
      </c>
      <c r="F92" s="36" t="n">
        <f aca="false">IF(AND(EDT!$J84=F$23,EDT!$M84&lt;&gt;"Recortada"),EDT!$K84,"")</f>
        <v>2</v>
      </c>
      <c r="G92" s="36" t="str">
        <f aca="false">IF(AND(EDT!$J84=G$23,EDT!$M84&lt;&gt;"Recortada"),EDT!$K84,"")</f>
        <v/>
      </c>
      <c r="H92" s="36" t="str">
        <f aca="false">IF(AND(EDT!$J84=H$23,EDT!$M84&lt;&gt;"Recortada"),EDT!$K84,"")</f>
        <v/>
      </c>
      <c r="I92" s="35" t="str">
        <f aca="false">EDT!M84</f>
        <v>Pendiente</v>
      </c>
    </row>
    <row r="93" customFormat="false" ht="15" hidden="false" customHeight="false" outlineLevel="0" collapsed="false">
      <c r="A93" s="35" t="str">
        <f aca="false">EDT!A85</f>
        <v>9.9</v>
      </c>
      <c r="B93" s="29" t="str">
        <f aca="false">EDT!B85</f>
        <v>Pantalla: visor de trazas</v>
      </c>
      <c r="C93" s="35" t="str">
        <f aca="false">IF(EDT!E85="","",EDT!E85)</f>
        <v/>
      </c>
      <c r="D93" s="35" t="str">
        <f aca="false">EDT!H85</f>
        <v>1 · Imprescindible</v>
      </c>
      <c r="E93" s="36" t="str">
        <f aca="false">IF(AND(EDT!$J85=E$23,EDT!$M85&lt;&gt;"Recortada"),EDT!$K85,"")</f>
        <v/>
      </c>
      <c r="F93" s="36" t="n">
        <f aca="false">IF(AND(EDT!$J85=F$23,EDT!$M85&lt;&gt;"Recortada"),EDT!$K85,"")</f>
        <v>1.5</v>
      </c>
      <c r="G93" s="36" t="str">
        <f aca="false">IF(AND(EDT!$J85=G$23,EDT!$M85&lt;&gt;"Recortada"),EDT!$K85,"")</f>
        <v/>
      </c>
      <c r="H93" s="36" t="str">
        <f aca="false">IF(AND(EDT!$J85=H$23,EDT!$M85&lt;&gt;"Recortada"),EDT!$K85,"")</f>
        <v/>
      </c>
      <c r="I93" s="35" t="str">
        <f aca="false">EDT!M85</f>
        <v>Pendiente</v>
      </c>
    </row>
    <row r="94" customFormat="false" ht="15" hidden="false" customHeight="false" outlineLevel="0" collapsed="false">
      <c r="A94" s="35" t="str">
        <f aca="false">EDT!A86</f>
        <v>9.10</v>
      </c>
      <c r="B94" s="29" t="str">
        <f aca="false">EDT!B86</f>
        <v>(Si hay tiempo) Rechazar con motivo y pedir uno nuevo</v>
      </c>
      <c r="C94" s="35" t="str">
        <f aca="false">IF(EDT!E86="","",EDT!E86)</f>
        <v/>
      </c>
      <c r="D94" s="35" t="str">
        <f aca="false">EDT!H86</f>
        <v>3 · Si hay tiempo</v>
      </c>
      <c r="E94" s="36" t="str">
        <f aca="false">IF(AND(EDT!$J86=E$23,EDT!$M86&lt;&gt;"Recortada"),EDT!$K86,"")</f>
        <v/>
      </c>
      <c r="F94" s="36" t="n">
        <f aca="false">IF(AND(EDT!$J86=F$23,EDT!$M86&lt;&gt;"Recortada"),EDT!$K86,"")</f>
        <v>2</v>
      </c>
      <c r="G94" s="36" t="str">
        <f aca="false">IF(AND(EDT!$J86=G$23,EDT!$M86&lt;&gt;"Recortada"),EDT!$K86,"")</f>
        <v/>
      </c>
      <c r="H94" s="36" t="str">
        <f aca="false">IF(AND(EDT!$J86=H$23,EDT!$M86&lt;&gt;"Recortada"),EDT!$K86,"")</f>
        <v/>
      </c>
      <c r="I94" s="35" t="str">
        <f aca="false">EDT!M86</f>
        <v>Pendiente</v>
      </c>
    </row>
    <row r="95" customFormat="false" ht="15" hidden="false" customHeight="false" outlineLevel="0" collapsed="false">
      <c r="A95" s="35" t="str">
        <f aca="false">EDT!A88</f>
        <v>10.1</v>
      </c>
      <c r="B95" s="29" t="str">
        <f aca="false">EDT!B88</f>
        <v>API del médico</v>
      </c>
      <c r="C95" s="35" t="str">
        <f aca="false">IF(EDT!E88="","",EDT!E88)</f>
        <v/>
      </c>
      <c r="D95" s="35" t="str">
        <f aca="false">EDT!H88</f>
        <v>1 · Imprescindible</v>
      </c>
      <c r="E95" s="36" t="str">
        <f aca="false">IF(AND(EDT!$J88=E$23,EDT!$M88&lt;&gt;"Recortada"),EDT!$K88,"")</f>
        <v/>
      </c>
      <c r="F95" s="36" t="n">
        <f aca="false">IF(AND(EDT!$J88=F$23,EDT!$M88&lt;&gt;"Recortada"),EDT!$K88,"")</f>
        <v>1.5</v>
      </c>
      <c r="G95" s="36" t="str">
        <f aca="false">IF(AND(EDT!$J88=G$23,EDT!$M88&lt;&gt;"Recortada"),EDT!$K88,"")</f>
        <v/>
      </c>
      <c r="H95" s="36" t="str">
        <f aca="false">IF(AND(EDT!$J88=H$23,EDT!$M88&lt;&gt;"Recortada"),EDT!$K88,"")</f>
        <v/>
      </c>
      <c r="I95" s="35" t="str">
        <f aca="false">EDT!M88</f>
        <v>Pendiente</v>
      </c>
    </row>
    <row r="96" customFormat="false" ht="15" hidden="false" customHeight="false" outlineLevel="0" collapsed="false">
      <c r="A96" s="35" t="str">
        <f aca="false">EDT!A89</f>
        <v>10.2</v>
      </c>
      <c r="B96" s="29" t="str">
        <f aca="false">EDT!B89</f>
        <v>Pantalla del médico</v>
      </c>
      <c r="C96" s="35" t="str">
        <f aca="false">IF(EDT!E89="","",EDT!E89)</f>
        <v/>
      </c>
      <c r="D96" s="35" t="str">
        <f aca="false">EDT!H89</f>
        <v>1 · Imprescindible</v>
      </c>
      <c r="E96" s="36" t="str">
        <f aca="false">IF(AND(EDT!$J89=E$23,EDT!$M89&lt;&gt;"Recortada"),EDT!$K89,"")</f>
        <v/>
      </c>
      <c r="F96" s="36" t="n">
        <f aca="false">IF(AND(EDT!$J89=F$23,EDT!$M89&lt;&gt;"Recortada"),EDT!$K89,"")</f>
        <v>2</v>
      </c>
      <c r="G96" s="36" t="str">
        <f aca="false">IF(AND(EDT!$J89=G$23,EDT!$M89&lt;&gt;"Recortada"),EDT!$K89,"")</f>
        <v/>
      </c>
      <c r="H96" s="36" t="str">
        <f aca="false">IF(AND(EDT!$J89=H$23,EDT!$M89&lt;&gt;"Recortada"),EDT!$K89,"")</f>
        <v/>
      </c>
      <c r="I96" s="35" t="str">
        <f aca="false">EDT!M89</f>
        <v>Pendiente</v>
      </c>
    </row>
    <row r="97" customFormat="false" ht="15" hidden="false" customHeight="false" outlineLevel="0" collapsed="false">
      <c r="A97" s="35" t="str">
        <f aca="false">EDT!A90</f>
        <v>10.3</v>
      </c>
      <c r="B97" s="29" t="str">
        <f aca="false">EDT!B90</f>
        <v>(Si hay tiempo) Evidencia para el médico</v>
      </c>
      <c r="C97" s="35" t="str">
        <f aca="false">IF(EDT!E90="","",EDT!E90)</f>
        <v/>
      </c>
      <c r="D97" s="35" t="str">
        <f aca="false">EDT!H90</f>
        <v>3 · Si hay tiempo</v>
      </c>
      <c r="E97" s="36" t="str">
        <f aca="false">IF(AND(EDT!$J90=E$23,EDT!$M90&lt;&gt;"Recortada"),EDT!$K90,"")</f>
        <v/>
      </c>
      <c r="F97" s="36" t="n">
        <f aca="false">IF(AND(EDT!$J90=F$23,EDT!$M90&lt;&gt;"Recortada"),EDT!$K90,"")</f>
        <v>1.5</v>
      </c>
      <c r="G97" s="36" t="str">
        <f aca="false">IF(AND(EDT!$J90=G$23,EDT!$M90&lt;&gt;"Recortada"),EDT!$K90,"")</f>
        <v/>
      </c>
      <c r="H97" s="36" t="str">
        <f aca="false">IF(AND(EDT!$J90=H$23,EDT!$M90&lt;&gt;"Recortada"),EDT!$K90,"")</f>
        <v/>
      </c>
      <c r="I97" s="35" t="str">
        <f aca="false">EDT!M90</f>
        <v>Pendiente</v>
      </c>
    </row>
    <row r="98" customFormat="false" ht="15" hidden="false" customHeight="false" outlineLevel="0" collapsed="false">
      <c r="A98" s="35" t="str">
        <f aca="false">EDT!A91</f>
        <v>10.4</v>
      </c>
      <c r="B98" s="29" t="str">
        <f aca="false">EDT!B91</f>
        <v>(Si hay tiempo) El médico registra entradas</v>
      </c>
      <c r="C98" s="35" t="str">
        <f aca="false">IF(EDT!E91="","",EDT!E91)</f>
        <v/>
      </c>
      <c r="D98" s="35" t="str">
        <f aca="false">EDT!H91</f>
        <v>3 · Si hay tiempo</v>
      </c>
      <c r="E98" s="36" t="str">
        <f aca="false">IF(AND(EDT!$J91=E$23,EDT!$M91&lt;&gt;"Recortada"),EDT!$K91,"")</f>
        <v/>
      </c>
      <c r="F98" s="36" t="n">
        <f aca="false">IF(AND(EDT!$J91=F$23,EDT!$M91&lt;&gt;"Recortada"),EDT!$K91,"")</f>
        <v>1</v>
      </c>
      <c r="G98" s="36" t="str">
        <f aca="false">IF(AND(EDT!$J91=G$23,EDT!$M91&lt;&gt;"Recortada"),EDT!$K91,"")</f>
        <v/>
      </c>
      <c r="H98" s="36" t="str">
        <f aca="false">IF(AND(EDT!$J91=H$23,EDT!$M91&lt;&gt;"Recortada"),EDT!$K91,"")</f>
        <v/>
      </c>
      <c r="I98" s="35" t="str">
        <f aca="false">EDT!M91</f>
        <v>Pendiente</v>
      </c>
    </row>
    <row r="99" customFormat="false" ht="15" hidden="false" customHeight="false" outlineLevel="0" collapsed="false">
      <c r="A99" s="35" t="str">
        <f aca="false">EDT!A92</f>
        <v>10.5</v>
      </c>
      <c r="B99" s="29" t="str">
        <f aca="false">EDT!B92</f>
        <v>(Si hay tiempo) Auditoría de acciones sensibles</v>
      </c>
      <c r="C99" s="35" t="str">
        <f aca="false">IF(EDT!E92="","",EDT!E92)</f>
        <v/>
      </c>
      <c r="D99" s="35" t="str">
        <f aca="false">EDT!H92</f>
        <v>3 · Si hay tiempo</v>
      </c>
      <c r="E99" s="36" t="str">
        <f aca="false">IF(AND(EDT!$J92=E$23,EDT!$M92&lt;&gt;"Recortada"),EDT!$K92,"")</f>
        <v/>
      </c>
      <c r="F99" s="36" t="n">
        <f aca="false">IF(AND(EDT!$J92=F$23,EDT!$M92&lt;&gt;"Recortada"),EDT!$K92,"")</f>
        <v>2.5</v>
      </c>
      <c r="G99" s="36" t="str">
        <f aca="false">IF(AND(EDT!$J92=G$23,EDT!$M92&lt;&gt;"Recortada"),EDT!$K92,"")</f>
        <v/>
      </c>
      <c r="H99" s="36" t="str">
        <f aca="false">IF(AND(EDT!$J92=H$23,EDT!$M92&lt;&gt;"Recortada"),EDT!$K92,"")</f>
        <v/>
      </c>
      <c r="I99" s="35" t="str">
        <f aca="false">EDT!M92</f>
        <v>Pendiente</v>
      </c>
    </row>
    <row r="100" customFormat="false" ht="15" hidden="false" customHeight="false" outlineLevel="0" collapsed="false">
      <c r="A100" s="35" t="str">
        <f aca="false">EDT!A94</f>
        <v>11.1</v>
      </c>
      <c r="B100" s="29" t="str">
        <f aca="false">EDT!B94</f>
        <v>Regla de las cuatro semanas aprobadas</v>
      </c>
      <c r="C100" s="35" t="str">
        <f aca="false">IF(EDT!E94="","",EDT!E94)</f>
        <v/>
      </c>
      <c r="D100" s="35" t="str">
        <f aca="false">EDT!H94</f>
        <v>2 · Núcleo</v>
      </c>
      <c r="E100" s="36" t="str">
        <f aca="false">IF(AND(EDT!$J94=E$23,EDT!$M94&lt;&gt;"Recortada"),EDT!$K94,"")</f>
        <v/>
      </c>
      <c r="F100" s="36" t="n">
        <f aca="false">IF(AND(EDT!$J94=F$23,EDT!$M94&lt;&gt;"Recortada"),EDT!$K94,"")</f>
        <v>2</v>
      </c>
      <c r="G100" s="36" t="str">
        <f aca="false">IF(AND(EDT!$J94=G$23,EDT!$M94&lt;&gt;"Recortada"),EDT!$K94,"")</f>
        <v/>
      </c>
      <c r="H100" s="36" t="str">
        <f aca="false">IF(AND(EDT!$J94=H$23,EDT!$M94&lt;&gt;"Recortada"),EDT!$K94,"")</f>
        <v/>
      </c>
      <c r="I100" s="35" t="str">
        <f aca="false">EDT!M94</f>
        <v>Pendiente</v>
      </c>
    </row>
    <row r="101" customFormat="false" ht="15" hidden="false" customHeight="false" outlineLevel="0" collapsed="false">
      <c r="A101" s="35" t="str">
        <f aca="false">EDT!A95</f>
        <v>11.2</v>
      </c>
      <c r="B101" s="29" t="str">
        <f aca="false">EDT!B95</f>
        <v>Generación del mensual</v>
      </c>
      <c r="C101" s="35" t="str">
        <f aca="false">IF(EDT!E95="","",EDT!E95)</f>
        <v/>
      </c>
      <c r="D101" s="35" t="str">
        <f aca="false">EDT!H95</f>
        <v>2 · Núcleo</v>
      </c>
      <c r="E101" s="36" t="str">
        <f aca="false">IF(AND(EDT!$J95=E$23,EDT!$M95&lt;&gt;"Recortada"),EDT!$K95,"")</f>
        <v/>
      </c>
      <c r="F101" s="36" t="n">
        <f aca="false">IF(AND(EDT!$J95=F$23,EDT!$M95&lt;&gt;"Recortada"),EDT!$K95,"")</f>
        <v>3</v>
      </c>
      <c r="G101" s="36" t="str">
        <f aca="false">IF(AND(EDT!$J95=G$23,EDT!$M95&lt;&gt;"Recortada"),EDT!$K95,"")</f>
        <v/>
      </c>
      <c r="H101" s="36" t="str">
        <f aca="false">IF(AND(EDT!$J95=H$23,EDT!$M95&lt;&gt;"Recortada"),EDT!$K95,"")</f>
        <v/>
      </c>
      <c r="I101" s="35" t="str">
        <f aca="false">EDT!M95</f>
        <v>Pendiente</v>
      </c>
    </row>
    <row r="102" customFormat="false" ht="15" hidden="false" customHeight="false" outlineLevel="0" collapsed="false">
      <c r="A102" s="35" t="str">
        <f aca="false">EDT!A96</f>
        <v>11.3</v>
      </c>
      <c r="B102" s="29" t="str">
        <f aca="false">EDT!B96</f>
        <v>Pantalla del mensual</v>
      </c>
      <c r="C102" s="35" t="str">
        <f aca="false">IF(EDT!E96="","",EDT!E96)</f>
        <v/>
      </c>
      <c r="D102" s="35" t="str">
        <f aca="false">EDT!H96</f>
        <v>2 · Núcleo</v>
      </c>
      <c r="E102" s="36" t="str">
        <f aca="false">IF(AND(EDT!$J96=E$23,EDT!$M96&lt;&gt;"Recortada"),EDT!$K96,"")</f>
        <v/>
      </c>
      <c r="F102" s="36" t="n">
        <f aca="false">IF(AND(EDT!$J96=F$23,EDT!$M96&lt;&gt;"Recortada"),EDT!$K96,"")</f>
        <v>2</v>
      </c>
      <c r="G102" s="36" t="str">
        <f aca="false">IF(AND(EDT!$J96=G$23,EDT!$M96&lt;&gt;"Recortada"),EDT!$K96,"")</f>
        <v/>
      </c>
      <c r="H102" s="36" t="str">
        <f aca="false">IF(AND(EDT!$J96=H$23,EDT!$M96&lt;&gt;"Recortada"),EDT!$K96,"")</f>
        <v/>
      </c>
      <c r="I102" s="35" t="str">
        <f aca="false">EDT!M96</f>
        <v>Pendiente</v>
      </c>
    </row>
    <row r="103" customFormat="false" ht="15" hidden="false" customHeight="false" outlineLevel="0" collapsed="false">
      <c r="A103" s="35" t="str">
        <f aca="false">EDT!A98</f>
        <v>12.1</v>
      </c>
      <c r="B103" s="29" t="str">
        <f aca="false">EDT!B98</f>
        <v>Casos dorados</v>
      </c>
      <c r="C103" s="35" t="str">
        <f aca="false">IF(EDT!E98="","",EDT!E98)</f>
        <v/>
      </c>
      <c r="D103" s="35" t="str">
        <f aca="false">EDT!H98</f>
        <v>1 · Imprescindible</v>
      </c>
      <c r="E103" s="36" t="str">
        <f aca="false">IF(AND(EDT!$J98=E$23,EDT!$M98&lt;&gt;"Recortada"),EDT!$K98,"")</f>
        <v/>
      </c>
      <c r="F103" s="36" t="n">
        <f aca="false">IF(AND(EDT!$J98=F$23,EDT!$M98&lt;&gt;"Recortada"),EDT!$K98,"")</f>
        <v>3</v>
      </c>
      <c r="G103" s="36" t="str">
        <f aca="false">IF(AND(EDT!$J98=G$23,EDT!$M98&lt;&gt;"Recortada"),EDT!$K98,"")</f>
        <v/>
      </c>
      <c r="H103" s="36" t="str">
        <f aca="false">IF(AND(EDT!$J98=H$23,EDT!$M98&lt;&gt;"Recortada"),EDT!$K98,"")</f>
        <v/>
      </c>
      <c r="I103" s="35" t="str">
        <f aca="false">EDT!M98</f>
        <v>Pendiente</v>
      </c>
    </row>
    <row r="104" customFormat="false" ht="15" hidden="false" customHeight="false" outlineLevel="0" collapsed="false">
      <c r="A104" s="35" t="str">
        <f aca="false">EDT!A99</f>
        <v>12.2</v>
      </c>
      <c r="B104" s="29" t="str">
        <f aca="false">EDT!B99</f>
        <v>Casos de estructuración</v>
      </c>
      <c r="C104" s="35" t="str">
        <f aca="false">IF(EDT!E99="","",EDT!E99)</f>
        <v/>
      </c>
      <c r="D104" s="35" t="str">
        <f aca="false">EDT!H99</f>
        <v>1 · Imprescindible</v>
      </c>
      <c r="E104" s="36" t="str">
        <f aca="false">IF(AND(EDT!$J99=E$23,EDT!$M99&lt;&gt;"Recortada"),EDT!$K99,"")</f>
        <v/>
      </c>
      <c r="F104" s="36" t="n">
        <f aca="false">IF(AND(EDT!$J99=F$23,EDT!$M99&lt;&gt;"Recortada"),EDT!$K99,"")</f>
        <v>1.5</v>
      </c>
      <c r="G104" s="36" t="str">
        <f aca="false">IF(AND(EDT!$J99=G$23,EDT!$M99&lt;&gt;"Recortada"),EDT!$K99,"")</f>
        <v/>
      </c>
      <c r="H104" s="36" t="str">
        <f aca="false">IF(AND(EDT!$J99=H$23,EDT!$M99&lt;&gt;"Recortada"),EDT!$K99,"")</f>
        <v/>
      </c>
      <c r="I104" s="35" t="str">
        <f aca="false">EDT!M99</f>
        <v>Pendiente</v>
      </c>
    </row>
    <row r="105" customFormat="false" ht="15" hidden="false" customHeight="false" outlineLevel="0" collapsed="false">
      <c r="A105" s="35" t="str">
        <f aca="false">EDT!A100</f>
        <v>12.3</v>
      </c>
      <c r="B105" s="29" t="str">
        <f aca="false">EDT!B100</f>
        <v>Script de la suite</v>
      </c>
      <c r="C105" s="35" t="str">
        <f aca="false">IF(EDT!E100="","",EDT!E100)</f>
        <v/>
      </c>
      <c r="D105" s="35" t="str">
        <f aca="false">EDT!H100</f>
        <v>1 · Imprescindible</v>
      </c>
      <c r="E105" s="36" t="str">
        <f aca="false">IF(AND(EDT!$J100=E$23,EDT!$M100&lt;&gt;"Recortada"),EDT!$K100,"")</f>
        <v/>
      </c>
      <c r="F105" s="36" t="n">
        <f aca="false">IF(AND(EDT!$J100=F$23,EDT!$M100&lt;&gt;"Recortada"),EDT!$K100,"")</f>
        <v>3</v>
      </c>
      <c r="G105" s="36" t="str">
        <f aca="false">IF(AND(EDT!$J100=G$23,EDT!$M100&lt;&gt;"Recortada"),EDT!$K100,"")</f>
        <v/>
      </c>
      <c r="H105" s="36" t="str">
        <f aca="false">IF(AND(EDT!$J100=H$23,EDT!$M100&lt;&gt;"Recortada"),EDT!$K100,"")</f>
        <v/>
      </c>
      <c r="I105" s="35" t="str">
        <f aca="false">EDT!M100</f>
        <v>Pendiente</v>
      </c>
    </row>
    <row r="106" customFormat="false" ht="15" hidden="false" customHeight="false" outlineLevel="0" collapsed="false">
      <c r="A106" s="35" t="str">
        <f aca="false">EDT!A101</f>
        <v>12.4</v>
      </c>
      <c r="B106" s="29" t="str">
        <f aca="false">EDT!B101</f>
        <v>Las cuatro cifras de la línea base</v>
      </c>
      <c r="C106" s="35" t="str">
        <f aca="false">IF(EDT!E101="","",EDT!E101)</f>
        <v/>
      </c>
      <c r="D106" s="35" t="str">
        <f aca="false">EDT!H101</f>
        <v>1 · Imprescindible</v>
      </c>
      <c r="E106" s="36" t="str">
        <f aca="false">IF(AND(EDT!$J101=E$23,EDT!$M101&lt;&gt;"Recortada"),EDT!$K101,"")</f>
        <v/>
      </c>
      <c r="F106" s="36" t="n">
        <f aca="false">IF(AND(EDT!$J101=F$23,EDT!$M101&lt;&gt;"Recortada"),EDT!$K101,"")</f>
        <v>2</v>
      </c>
      <c r="G106" s="36" t="str">
        <f aca="false">IF(AND(EDT!$J101=G$23,EDT!$M101&lt;&gt;"Recortada"),EDT!$K101,"")</f>
        <v/>
      </c>
      <c r="H106" s="36" t="str">
        <f aca="false">IF(AND(EDT!$J101=H$23,EDT!$M101&lt;&gt;"Recortada"),EDT!$K101,"")</f>
        <v/>
      </c>
      <c r="I106" s="35" t="str">
        <f aca="false">EDT!M101</f>
        <v>Pendiente</v>
      </c>
    </row>
    <row r="107" customFormat="false" ht="15" hidden="false" customHeight="false" outlineLevel="0" collapsed="false">
      <c r="A107" s="35" t="str">
        <f aca="false">EDT!A102</f>
        <v>12.5</v>
      </c>
      <c r="B107" s="29" t="str">
        <f aca="false">EDT!B102</f>
        <v>Mapa de autonomía por acción</v>
      </c>
      <c r="C107" s="35" t="str">
        <f aca="false">IF(EDT!E102="","",EDT!E102)</f>
        <v/>
      </c>
      <c r="D107" s="35" t="str">
        <f aca="false">EDT!H102</f>
        <v>2 · Núcleo</v>
      </c>
      <c r="E107" s="36" t="str">
        <f aca="false">IF(AND(EDT!$J102=E$23,EDT!$M102&lt;&gt;"Recortada"),EDT!$K102,"")</f>
        <v/>
      </c>
      <c r="F107" s="36" t="n">
        <f aca="false">IF(AND(EDT!$J102=F$23,EDT!$M102&lt;&gt;"Recortada"),EDT!$K102,"")</f>
        <v>1.5</v>
      </c>
      <c r="G107" s="36" t="str">
        <f aca="false">IF(AND(EDT!$J102=G$23,EDT!$M102&lt;&gt;"Recortada"),EDT!$K102,"")</f>
        <v/>
      </c>
      <c r="H107" s="36" t="str">
        <f aca="false">IF(AND(EDT!$J102=H$23,EDT!$M102&lt;&gt;"Recortada"),EDT!$K102,"")</f>
        <v/>
      </c>
      <c r="I107" s="35" t="str">
        <f aca="false">EDT!M102</f>
        <v>Pendiente</v>
      </c>
    </row>
    <row r="108" customFormat="false" ht="15" hidden="false" customHeight="false" outlineLevel="0" collapsed="false">
      <c r="A108" s="35" t="str">
        <f aca="false">EDT!A103</f>
        <v>12.6</v>
      </c>
      <c r="B108" s="29" t="str">
        <f aca="false">EDT!B103</f>
        <v>Pruebas automáticas de las reglas críticas</v>
      </c>
      <c r="C108" s="35" t="str">
        <f aca="false">IF(EDT!E103="","",EDT!E103)</f>
        <v/>
      </c>
      <c r="D108" s="35" t="str">
        <f aca="false">EDT!H103</f>
        <v>2 · Núcleo</v>
      </c>
      <c r="E108" s="36" t="str">
        <f aca="false">IF(AND(EDT!$J103=E$23,EDT!$M103&lt;&gt;"Recortada"),EDT!$K103,"")</f>
        <v/>
      </c>
      <c r="F108" s="36" t="n">
        <f aca="false">IF(AND(EDT!$J103=F$23,EDT!$M103&lt;&gt;"Recortada"),EDT!$K103,"")</f>
        <v>2</v>
      </c>
      <c r="G108" s="36" t="str">
        <f aca="false">IF(AND(EDT!$J103=G$23,EDT!$M103&lt;&gt;"Recortada"),EDT!$K103,"")</f>
        <v/>
      </c>
      <c r="H108" s="36" t="str">
        <f aca="false">IF(AND(EDT!$J103=H$23,EDT!$M103&lt;&gt;"Recortada"),EDT!$K103,"")</f>
        <v/>
      </c>
      <c r="I108" s="35" t="str">
        <f aca="false">EDT!M103</f>
        <v>Pendiente</v>
      </c>
    </row>
    <row r="109" customFormat="false" ht="15" hidden="false" customHeight="false" outlineLevel="0" collapsed="false">
      <c r="A109" s="35" t="str">
        <f aca="false">EDT!A105</f>
        <v>13.1</v>
      </c>
      <c r="B109" s="29" t="str">
        <f aca="false">EDT!B105</f>
        <v>Confirmar las decisiones propuestas</v>
      </c>
      <c r="C109" s="35" t="str">
        <f aca="false">IF(EDT!E105="","",EDT!E105)</f>
        <v/>
      </c>
      <c r="D109" s="35" t="str">
        <f aca="false">EDT!H105</f>
        <v>1 · Imprescindible</v>
      </c>
      <c r="E109" s="36" t="n">
        <f aca="false">IF(AND(EDT!$J105=E$23,EDT!$M105&lt;&gt;"Recortada"),EDT!$K105,"")</f>
        <v>0.5</v>
      </c>
      <c r="F109" s="36" t="str">
        <f aca="false">IF(AND(EDT!$J105=F$23,EDT!$M105&lt;&gt;"Recortada"),EDT!$K105,"")</f>
        <v/>
      </c>
      <c r="G109" s="36" t="str">
        <f aca="false">IF(AND(EDT!$J105=G$23,EDT!$M105&lt;&gt;"Recortada"),EDT!$K105,"")</f>
        <v/>
      </c>
      <c r="H109" s="36" t="str">
        <f aca="false">IF(AND(EDT!$J105=H$23,EDT!$M105&lt;&gt;"Recortada"),EDT!$K105,"")</f>
        <v/>
      </c>
      <c r="I109" s="35" t="str">
        <f aca="false">EDT!M105</f>
        <v>Pendiente</v>
      </c>
    </row>
    <row r="110" customFormat="false" ht="15" hidden="false" customHeight="false" outlineLevel="0" collapsed="false">
      <c r="A110" s="35" t="str">
        <f aca="false">EDT!A106</f>
        <v>13.2</v>
      </c>
      <c r="B110" s="29" t="str">
        <f aca="false">EDT!B106</f>
        <v>README ejecutable</v>
      </c>
      <c r="C110" s="35" t="str">
        <f aca="false">IF(EDT!E106="","",EDT!E106)</f>
        <v/>
      </c>
      <c r="D110" s="35" t="str">
        <f aca="false">EDT!H106</f>
        <v>1 · Imprescindible</v>
      </c>
      <c r="E110" s="36" t="str">
        <f aca="false">IF(AND(EDT!$J106=E$23,EDT!$M106&lt;&gt;"Recortada"),EDT!$K106,"")</f>
        <v/>
      </c>
      <c r="F110" s="36" t="n">
        <f aca="false">IF(AND(EDT!$J106=F$23,EDT!$M106&lt;&gt;"Recortada"),EDT!$K106,"")</f>
        <v>2</v>
      </c>
      <c r="G110" s="36" t="str">
        <f aca="false">IF(AND(EDT!$J106=G$23,EDT!$M106&lt;&gt;"Recortada"),EDT!$K106,"")</f>
        <v/>
      </c>
      <c r="H110" s="36" t="str">
        <f aca="false">IF(AND(EDT!$J106=H$23,EDT!$M106&lt;&gt;"Recortada"),EDT!$K106,"")</f>
        <v/>
      </c>
      <c r="I110" s="35" t="str">
        <f aca="false">EDT!M106</f>
        <v>Pendiente</v>
      </c>
    </row>
    <row r="111" customFormat="false" ht="15" hidden="false" customHeight="false" outlineLevel="0" collapsed="false">
      <c r="A111" s="35" t="str">
        <f aca="false">EDT!A107</f>
        <v>13.3</v>
      </c>
      <c r="B111" s="29" t="str">
        <f aca="false">EDT!B107</f>
        <v>docs/decisiones.md</v>
      </c>
      <c r="C111" s="35" t="str">
        <f aca="false">IF(EDT!E107="","",EDT!E107)</f>
        <v/>
      </c>
      <c r="D111" s="35" t="str">
        <f aca="false">EDT!H107</f>
        <v>1 · Imprescindible</v>
      </c>
      <c r="E111" s="36" t="str">
        <f aca="false">IF(AND(EDT!$J107=E$23,EDT!$M107&lt;&gt;"Recortada"),EDT!$K107,"")</f>
        <v/>
      </c>
      <c r="F111" s="36" t="n">
        <f aca="false">IF(AND(EDT!$J107=F$23,EDT!$M107&lt;&gt;"Recortada"),EDT!$K107,"")</f>
        <v>3</v>
      </c>
      <c r="G111" s="36" t="str">
        <f aca="false">IF(AND(EDT!$J107=G$23,EDT!$M107&lt;&gt;"Recortada"),EDT!$K107,"")</f>
        <v/>
      </c>
      <c r="H111" s="36" t="str">
        <f aca="false">IF(AND(EDT!$J107=H$23,EDT!$M107&lt;&gt;"Recortada"),EDT!$K107,"")</f>
        <v/>
      </c>
      <c r="I111" s="35" t="str">
        <f aca="false">EDT!M107</f>
        <v>Pendiente</v>
      </c>
    </row>
    <row r="112" customFormat="false" ht="15" hidden="false" customHeight="false" outlineLevel="0" collapsed="false">
      <c r="A112" s="35" t="str">
        <f aca="false">EDT!A108</f>
        <v>13.4</v>
      </c>
      <c r="B112" s="29" t="str">
        <f aca="false">EDT!B108</f>
        <v>docs/decisiones/semana08.md</v>
      </c>
      <c r="C112" s="35" t="str">
        <f aca="false">IF(EDT!E108="","",EDT!E108)</f>
        <v/>
      </c>
      <c r="D112" s="35" t="str">
        <f aca="false">EDT!H108</f>
        <v>2 · Núcleo</v>
      </c>
      <c r="E112" s="36" t="str">
        <f aca="false">IF(AND(EDT!$J108=E$23,EDT!$M108&lt;&gt;"Recortada"),EDT!$K108,"")</f>
        <v/>
      </c>
      <c r="F112" s="36" t="n">
        <f aca="false">IF(AND(EDT!$J108=F$23,EDT!$M108&lt;&gt;"Recortada"),EDT!$K108,"")</f>
        <v>1</v>
      </c>
      <c r="G112" s="36" t="str">
        <f aca="false">IF(AND(EDT!$J108=G$23,EDT!$M108&lt;&gt;"Recortada"),EDT!$K108,"")</f>
        <v/>
      </c>
      <c r="H112" s="36" t="str">
        <f aca="false">IF(AND(EDT!$J108=H$23,EDT!$M108&lt;&gt;"Recortada"),EDT!$K108,"")</f>
        <v/>
      </c>
      <c r="I112" s="35" t="str">
        <f aca="false">EDT!M108</f>
        <v>Pendiente</v>
      </c>
    </row>
    <row r="113" customFormat="false" ht="15" hidden="false" customHeight="false" outlineLevel="0" collapsed="false">
      <c r="A113" s="35" t="str">
        <f aca="false">EDT!A109</f>
        <v>13.5</v>
      </c>
      <c r="B113" s="29" t="str">
        <f aca="false">EDT!B109</f>
        <v>Límites del agente con valores y justificación</v>
      </c>
      <c r="C113" s="35" t="str">
        <f aca="false">IF(EDT!E109="","",EDT!E109)</f>
        <v/>
      </c>
      <c r="D113" s="35" t="str">
        <f aca="false">EDT!H109</f>
        <v>1 · Imprescindible</v>
      </c>
      <c r="E113" s="36" t="str">
        <f aca="false">IF(AND(EDT!$J109=E$23,EDT!$M109&lt;&gt;"Recortada"),EDT!$K109,"")</f>
        <v/>
      </c>
      <c r="F113" s="36" t="n">
        <f aca="false">IF(AND(EDT!$J109=F$23,EDT!$M109&lt;&gt;"Recortada"),EDT!$K109,"")</f>
        <v>1</v>
      </c>
      <c r="G113" s="36" t="str">
        <f aca="false">IF(AND(EDT!$J109=G$23,EDT!$M109&lt;&gt;"Recortada"),EDT!$K109,"")</f>
        <v/>
      </c>
      <c r="H113" s="36" t="str">
        <f aca="false">IF(AND(EDT!$J109=H$23,EDT!$M109&lt;&gt;"Recortada"),EDT!$K109,"")</f>
        <v/>
      </c>
      <c r="I113" s="35" t="str">
        <f aca="false">EDT!M109</f>
        <v>Pendiente</v>
      </c>
    </row>
    <row r="114" customFormat="false" ht="15" hidden="false" customHeight="false" outlineLevel="0" collapsed="false">
      <c r="A114" s="35" t="str">
        <f aca="false">EDT!A110</f>
        <v>13.6</v>
      </c>
      <c r="B114" s="29" t="str">
        <f aca="false">EDT!B110</f>
        <v>Evidencia de la necesidad de IA (D17)</v>
      </c>
      <c r="C114" s="35" t="str">
        <f aca="false">IF(EDT!E110="","",EDT!E110)</f>
        <v/>
      </c>
      <c r="D114" s="35" t="str">
        <f aca="false">EDT!H110</f>
        <v>2 · Núcleo</v>
      </c>
      <c r="E114" s="36" t="n">
        <f aca="false">IF(AND(EDT!$J110=E$23,EDT!$M110&lt;&gt;"Recortada"),EDT!$K110,"")</f>
        <v>0.5</v>
      </c>
      <c r="F114" s="36" t="str">
        <f aca="false">IF(AND(EDT!$J110=F$23,EDT!$M110&lt;&gt;"Recortada"),EDT!$K110,"")</f>
        <v/>
      </c>
      <c r="G114" s="36" t="str">
        <f aca="false">IF(AND(EDT!$J110=G$23,EDT!$M110&lt;&gt;"Recortada"),EDT!$K110,"")</f>
        <v/>
      </c>
      <c r="H114" s="36" t="str">
        <f aca="false">IF(AND(EDT!$J110=H$23,EDT!$M110&lt;&gt;"Recortada"),EDT!$K110,"")</f>
        <v/>
      </c>
      <c r="I114" s="35" t="str">
        <f aca="false">EDT!M110</f>
        <v>Pendiente</v>
      </c>
    </row>
    <row r="115" customFormat="false" ht="15" hidden="false" customHeight="false" outlineLevel="0" collapsed="false">
      <c r="A115" s="35" t="str">
        <f aca="false">EDT!A111</f>
        <v>13.7</v>
      </c>
      <c r="B115" s="29" t="str">
        <f aca="false">EDT!B111</f>
        <v>Actualizar docs/PLAN.md con esta EDT</v>
      </c>
      <c r="C115" s="35" t="str">
        <f aca="false">IF(EDT!E111="","",EDT!E111)</f>
        <v/>
      </c>
      <c r="D115" s="35" t="str">
        <f aca="false">EDT!H111</f>
        <v>2 · Núcleo</v>
      </c>
      <c r="E115" s="36" t="n">
        <f aca="false">IF(AND(EDT!$J111=E$23,EDT!$M111&lt;&gt;"Recortada"),EDT!$K111,"")</f>
        <v>1</v>
      </c>
      <c r="F115" s="36" t="str">
        <f aca="false">IF(AND(EDT!$J111=F$23,EDT!$M111&lt;&gt;"Recortada"),EDT!$K111,"")</f>
        <v/>
      </c>
      <c r="G115" s="36" t="str">
        <f aca="false">IF(AND(EDT!$J111=G$23,EDT!$M111&lt;&gt;"Recortada"),EDT!$K111,"")</f>
        <v/>
      </c>
      <c r="H115" s="36" t="str">
        <f aca="false">IF(AND(EDT!$J111=H$23,EDT!$M111&lt;&gt;"Recortada"),EDT!$K111,"")</f>
        <v/>
      </c>
      <c r="I115" s="35" t="str">
        <f aca="false">EDT!M111</f>
        <v>Pendiente</v>
      </c>
    </row>
    <row r="116" customFormat="false" ht="15" hidden="false" customHeight="false" outlineLevel="0" collapsed="false">
      <c r="A116" s="35" t="str">
        <f aca="false">EDT!A113</f>
        <v>14.1</v>
      </c>
      <c r="B116" s="29" t="str">
        <f aca="false">EDT!B113</f>
        <v>Buscar llaves y secretos en el repo y su historial</v>
      </c>
      <c r="C116" s="35" t="str">
        <f aca="false">IF(EDT!E113="","",EDT!E113)</f>
        <v/>
      </c>
      <c r="D116" s="35" t="str">
        <f aca="false">EDT!H113</f>
        <v>1 · Imprescindible</v>
      </c>
      <c r="E116" s="36" t="str">
        <f aca="false">IF(AND(EDT!$J113=E$23,EDT!$M113&lt;&gt;"Recortada"),EDT!$K113,"")</f>
        <v/>
      </c>
      <c r="F116" s="36" t="n">
        <f aca="false">IF(AND(EDT!$J113=F$23,EDT!$M113&lt;&gt;"Recortada"),EDT!$K113,"")</f>
        <v>0.5</v>
      </c>
      <c r="G116" s="36" t="str">
        <f aca="false">IF(AND(EDT!$J113=G$23,EDT!$M113&lt;&gt;"Recortada"),EDT!$K113,"")</f>
        <v/>
      </c>
      <c r="H116" s="36" t="str">
        <f aca="false">IF(AND(EDT!$J113=H$23,EDT!$M113&lt;&gt;"Recortada"),EDT!$K113,"")</f>
        <v/>
      </c>
      <c r="I116" s="35" t="str">
        <f aca="false">EDT!M113</f>
        <v>Pendiente</v>
      </c>
    </row>
    <row r="117" customFormat="false" ht="15" hidden="false" customHeight="false" outlineLevel="0" collapsed="false">
      <c r="A117" s="35" t="str">
        <f aca="false">EDT!A114</f>
        <v>14.2</v>
      </c>
      <c r="B117" s="29" t="str">
        <f aca="false">EDT!B114</f>
        <v>Crear la llave temporal del profesor</v>
      </c>
      <c r="C117" s="35" t="str">
        <f aca="false">IF(EDT!E114="","",EDT!E114)</f>
        <v/>
      </c>
      <c r="D117" s="35" t="str">
        <f aca="false">EDT!H114</f>
        <v>1 · Imprescindible</v>
      </c>
      <c r="E117" s="36" t="str">
        <f aca="false">IF(AND(EDT!$J114=E$23,EDT!$M114&lt;&gt;"Recortada"),EDT!$K114,"")</f>
        <v/>
      </c>
      <c r="F117" s="36" t="n">
        <f aca="false">IF(AND(EDT!$J114=F$23,EDT!$M114&lt;&gt;"Recortada"),EDT!$K114,"")</f>
        <v>0.5</v>
      </c>
      <c r="G117" s="36" t="str">
        <f aca="false">IF(AND(EDT!$J114=G$23,EDT!$M114&lt;&gt;"Recortada"),EDT!$K114,"")</f>
        <v/>
      </c>
      <c r="H117" s="36" t="str">
        <f aca="false">IF(AND(EDT!$J114=H$23,EDT!$M114&lt;&gt;"Recortada"),EDT!$K114,"")</f>
        <v/>
      </c>
      <c r="I117" s="35" t="str">
        <f aca="false">EDT!M114</f>
        <v>Pendiente</v>
      </c>
    </row>
    <row r="118" customFormat="false" ht="15" hidden="false" customHeight="false" outlineLevel="0" collapsed="false">
      <c r="A118" s="35" t="str">
        <f aca="false">EDT!A115</f>
        <v>14.3</v>
      </c>
      <c r="B118" s="29" t="str">
        <f aca="false">EDT!B115</f>
        <v>Prueba en frío con un clon limpio</v>
      </c>
      <c r="C118" s="35" t="str">
        <f aca="false">IF(EDT!E115="","",EDT!E115)</f>
        <v/>
      </c>
      <c r="D118" s="35" t="str">
        <f aca="false">EDT!H115</f>
        <v>1 · Imprescindible</v>
      </c>
      <c r="E118" s="36" t="str">
        <f aca="false">IF(AND(EDT!$J115=E$23,EDT!$M115&lt;&gt;"Recortada"),EDT!$K115,"")</f>
        <v/>
      </c>
      <c r="F118" s="36" t="n">
        <f aca="false">IF(AND(EDT!$J115=F$23,EDT!$M115&lt;&gt;"Recortada"),EDT!$K115,"")</f>
        <v>2.5</v>
      </c>
      <c r="G118" s="36" t="str">
        <f aca="false">IF(AND(EDT!$J115=G$23,EDT!$M115&lt;&gt;"Recortada"),EDT!$K115,"")</f>
        <v/>
      </c>
      <c r="H118" s="36" t="str">
        <f aca="false">IF(AND(EDT!$J115=H$23,EDT!$M115&lt;&gt;"Recortada"),EDT!$K115,"")</f>
        <v/>
      </c>
      <c r="I118" s="35" t="str">
        <f aca="false">EDT!M115</f>
        <v>Pendiente</v>
      </c>
    </row>
    <row r="119" customFormat="false" ht="15" hidden="false" customHeight="false" outlineLevel="0" collapsed="false">
      <c r="A119" s="35" t="str">
        <f aca="false">EDT!A116</f>
        <v>14.4</v>
      </c>
      <c r="B119" s="29" t="str">
        <f aca="false">EDT!B116</f>
        <v>Revisión con contexto fresco</v>
      </c>
      <c r="C119" s="35" t="str">
        <f aca="false">IF(EDT!E116="","",EDT!E116)</f>
        <v/>
      </c>
      <c r="D119" s="35" t="str">
        <f aca="false">EDT!H116</f>
        <v>2 · Núcleo</v>
      </c>
      <c r="E119" s="36" t="str">
        <f aca="false">IF(AND(EDT!$J116=E$23,EDT!$M116&lt;&gt;"Recortada"),EDT!$K116,"")</f>
        <v/>
      </c>
      <c r="F119" s="36" t="n">
        <f aca="false">IF(AND(EDT!$J116=F$23,EDT!$M116&lt;&gt;"Recortada"),EDT!$K116,"")</f>
        <v>1.5</v>
      </c>
      <c r="G119" s="36" t="str">
        <f aca="false">IF(AND(EDT!$J116=G$23,EDT!$M116&lt;&gt;"Recortada"),EDT!$K116,"")</f>
        <v/>
      </c>
      <c r="H119" s="36" t="str">
        <f aca="false">IF(AND(EDT!$J116=H$23,EDT!$M116&lt;&gt;"Recortada"),EDT!$K116,"")</f>
        <v/>
      </c>
      <c r="I119" s="35" t="str">
        <f aca="false">EDT!M116</f>
        <v>Pendiente</v>
      </c>
    </row>
    <row r="120" customFormat="false" ht="15" hidden="false" customHeight="false" outlineLevel="0" collapsed="false">
      <c r="A120" s="35" t="str">
        <f aca="false">EDT!A117</f>
        <v>14.5</v>
      </c>
      <c r="B120" s="29" t="str">
        <f aca="false">EDT!B117</f>
        <v>Congelar: tag m2-entrega</v>
      </c>
      <c r="C120" s="35" t="str">
        <f aca="false">IF(EDT!E117="","",EDT!E117)</f>
        <v/>
      </c>
      <c r="D120" s="35" t="str">
        <f aca="false">EDT!H117</f>
        <v>1 · Imprescindible</v>
      </c>
      <c r="E120" s="36" t="str">
        <f aca="false">IF(AND(EDT!$J117=E$23,EDT!$M117&lt;&gt;"Recortada"),EDT!$K117,"")</f>
        <v/>
      </c>
      <c r="F120" s="36" t="n">
        <f aca="false">IF(AND(EDT!$J117=F$23,EDT!$M117&lt;&gt;"Recortada"),EDT!$K117,"")</f>
        <v>0.5</v>
      </c>
      <c r="G120" s="36" t="str">
        <f aca="false">IF(AND(EDT!$J117=G$23,EDT!$M117&lt;&gt;"Recortada"),EDT!$K117,"")</f>
        <v/>
      </c>
      <c r="H120" s="36" t="str">
        <f aca="false">IF(AND(EDT!$J117=H$23,EDT!$M117&lt;&gt;"Recortada"),EDT!$K117,"")</f>
        <v/>
      </c>
      <c r="I120" s="35" t="str">
        <f aca="false">EDT!M117</f>
        <v>Pendiente</v>
      </c>
    </row>
    <row r="121" customFormat="false" ht="15" hidden="false" customHeight="false" outlineLevel="0" collapsed="false">
      <c r="A121" s="35" t="str">
        <f aca="false">EDT!A118</f>
        <v>14.6</v>
      </c>
      <c r="B121" s="29" t="str">
        <f aca="false">EDT!B118</f>
        <v>Enlace en el aula virtual</v>
      </c>
      <c r="C121" s="35" t="str">
        <f aca="false">IF(EDT!E118="","",EDT!E118)</f>
        <v/>
      </c>
      <c r="D121" s="35" t="str">
        <f aca="false">EDT!H118</f>
        <v>1 · Imprescindible</v>
      </c>
      <c r="E121" s="36" t="str">
        <f aca="false">IF(AND(EDT!$J118=E$23,EDT!$M118&lt;&gt;"Recortada"),EDT!$K118,"")</f>
        <v/>
      </c>
      <c r="F121" s="36" t="n">
        <f aca="false">IF(AND(EDT!$J118=F$23,EDT!$M118&lt;&gt;"Recortada"),EDT!$K118,"")</f>
        <v>0.5</v>
      </c>
      <c r="G121" s="36" t="str">
        <f aca="false">IF(AND(EDT!$J118=G$23,EDT!$M118&lt;&gt;"Recortada"),EDT!$K118,"")</f>
        <v/>
      </c>
      <c r="H121" s="36" t="str">
        <f aca="false">IF(AND(EDT!$J118=H$23,EDT!$M118&lt;&gt;"Recortada"),EDT!$K118,"")</f>
        <v/>
      </c>
      <c r="I121" s="35" t="str">
        <f aca="false">EDT!M118</f>
        <v>Pendiente</v>
      </c>
    </row>
    <row r="122" customFormat="false" ht="15" hidden="false" customHeight="false" outlineLevel="0" collapsed="false">
      <c r="A122" s="35" t="str">
        <f aca="false">EDT!A119</f>
        <v>14.7</v>
      </c>
      <c r="B122" s="29" t="str">
        <f aca="false">EDT!B119</f>
        <v>Ensayo de la demo de 6 minutos</v>
      </c>
      <c r="C122" s="35" t="str">
        <f aca="false">IF(EDT!E119="","",EDT!E119)</f>
        <v/>
      </c>
      <c r="D122" s="35" t="str">
        <f aca="false">EDT!H119</f>
        <v>1 · Imprescindible</v>
      </c>
      <c r="E122" s="36" t="str">
        <f aca="false">IF(AND(EDT!$J119=E$23,EDT!$M119&lt;&gt;"Recortada"),EDT!$K119,"")</f>
        <v/>
      </c>
      <c r="F122" s="36" t="str">
        <f aca="false">IF(AND(EDT!$J119=F$23,EDT!$M119&lt;&gt;"Recortada"),EDT!$K119,"")</f>
        <v/>
      </c>
      <c r="G122" s="36" t="n">
        <f aca="false">IF(AND(EDT!$J119=G$23,EDT!$M119&lt;&gt;"Recortada"),EDT!$K119,"")</f>
        <v>2.5</v>
      </c>
      <c r="H122" s="36" t="str">
        <f aca="false">IF(AND(EDT!$J119=H$23,EDT!$M119&lt;&gt;"Recortada"),EDT!$K119,"")</f>
        <v/>
      </c>
      <c r="I122" s="35" t="str">
        <f aca="false">EDT!M119</f>
        <v>Pendiente</v>
      </c>
    </row>
    <row r="123" customFormat="false" ht="15" hidden="false" customHeight="false" outlineLevel="0" collapsed="false">
      <c r="A123" s="35" t="str">
        <f aca="false">EDT!A120</f>
        <v>14.8</v>
      </c>
      <c r="B123" s="29" t="str">
        <f aca="false">EDT!B120</f>
        <v>Preparar las respuestas sobre las decisiones</v>
      </c>
      <c r="C123" s="35" t="str">
        <f aca="false">IF(EDT!E120="","",EDT!E120)</f>
        <v/>
      </c>
      <c r="D123" s="35" t="str">
        <f aca="false">EDT!H120</f>
        <v>1 · Imprescindible</v>
      </c>
      <c r="E123" s="36" t="str">
        <f aca="false">IF(AND(EDT!$J120=E$23,EDT!$M120&lt;&gt;"Recortada"),EDT!$K120,"")</f>
        <v/>
      </c>
      <c r="F123" s="36" t="str">
        <f aca="false">IF(AND(EDT!$J120=F$23,EDT!$M120&lt;&gt;"Recortada"),EDT!$K120,"")</f>
        <v/>
      </c>
      <c r="G123" s="36" t="n">
        <f aca="false">IF(AND(EDT!$J120=G$23,EDT!$M120&lt;&gt;"Recortada"),EDT!$K120,"")</f>
        <v>1.5</v>
      </c>
      <c r="H123" s="36" t="str">
        <f aca="false">IF(AND(EDT!$J120=H$23,EDT!$M120&lt;&gt;"Recortada"),EDT!$K120,"")</f>
        <v/>
      </c>
      <c r="I123" s="35" t="str">
        <f aca="false">EDT!M120</f>
        <v>Pendiente</v>
      </c>
    </row>
    <row r="124" customFormat="false" ht="15" hidden="false" customHeight="false" outlineLevel="0" collapsed="false">
      <c r="A124" s="35" t="str">
        <f aca="false">EDT!A121</f>
        <v>14.9</v>
      </c>
      <c r="B124" s="29" t="str">
        <f aca="false">EDT!B121</f>
        <v>Demo y preguntas</v>
      </c>
      <c r="C124" s="35" t="str">
        <f aca="false">IF(EDT!E121="","",EDT!E121)</f>
        <v/>
      </c>
      <c r="D124" s="35" t="str">
        <f aca="false">EDT!H121</f>
        <v>1 · Imprescindible</v>
      </c>
      <c r="E124" s="36" t="str">
        <f aca="false">IF(AND(EDT!$J121=E$23,EDT!$M121&lt;&gt;"Recortada"),EDT!$K121,"")</f>
        <v/>
      </c>
      <c r="F124" s="36" t="str">
        <f aca="false">IF(AND(EDT!$J121=F$23,EDT!$M121&lt;&gt;"Recortada"),EDT!$K121,"")</f>
        <v/>
      </c>
      <c r="G124" s="36" t="str">
        <f aca="false">IF(AND(EDT!$J121=G$23,EDT!$M121&lt;&gt;"Recortada"),EDT!$K121,"")</f>
        <v/>
      </c>
      <c r="H124" s="36" t="n">
        <f aca="false">IF(AND(EDT!$J121=H$23,EDT!$M121&lt;&gt;"Recortada"),EDT!$K121,"")</f>
        <v>2</v>
      </c>
      <c r="I124" s="35" t="str">
        <f aca="false">EDT!M121</f>
        <v>Pendiente</v>
      </c>
    </row>
    <row r="125" customFormat="false" ht="15" hidden="false" customHeight="false" outlineLevel="0" collapsed="false">
      <c r="A125" s="35" t="str">
        <f aca="false">EDT!A123</f>
        <v>15.1</v>
      </c>
      <c r="B125" s="29" t="str">
        <f aca="false">EDT!B123</f>
        <v>(Opcional) Exportar a PDF un informe aprobado</v>
      </c>
      <c r="C125" s="35" t="str">
        <f aca="false">IF(EDT!E123="","",EDT!E123)</f>
        <v/>
      </c>
      <c r="D125" s="35" t="str">
        <f aca="false">EDT!H123</f>
        <v>4 · Opcional</v>
      </c>
      <c r="E125" s="36" t="str">
        <f aca="false">IF(AND(EDT!$J123=E$23,EDT!$M123&lt;&gt;"Recortada"),EDT!$K123,"")</f>
        <v/>
      </c>
      <c r="F125" s="36" t="n">
        <f aca="false">IF(AND(EDT!$J123=F$23,EDT!$M123&lt;&gt;"Recortada"),EDT!$K123,"")</f>
        <v>3</v>
      </c>
      <c r="G125" s="36" t="str">
        <f aca="false">IF(AND(EDT!$J123=G$23,EDT!$M123&lt;&gt;"Recortada"),EDT!$K123,"")</f>
        <v/>
      </c>
      <c r="H125" s="36" t="str">
        <f aca="false">IF(AND(EDT!$J123=H$23,EDT!$M123&lt;&gt;"Recortada"),EDT!$K123,"")</f>
        <v/>
      </c>
      <c r="I125" s="35" t="str">
        <f aca="false">EDT!M123</f>
        <v>Pendiente</v>
      </c>
    </row>
    <row r="126" customFormat="false" ht="15" hidden="false" customHeight="false" outlineLevel="0" collapsed="false">
      <c r="A126" s="35" t="str">
        <f aca="false">EDT!A124</f>
        <v>15.2</v>
      </c>
      <c r="B126" s="29" t="str">
        <f aca="false">EDT!B124</f>
        <v>(Opcional) Dictado por voz</v>
      </c>
      <c r="C126" s="35" t="str">
        <f aca="false">IF(EDT!E124="","",EDT!E124)</f>
        <v/>
      </c>
      <c r="D126" s="35" t="str">
        <f aca="false">EDT!H124</f>
        <v>4 · Opcional</v>
      </c>
      <c r="E126" s="36" t="str">
        <f aca="false">IF(AND(EDT!$J124=E$23,EDT!$M124&lt;&gt;"Recortada"),EDT!$K124,"")</f>
        <v/>
      </c>
      <c r="F126" s="36" t="n">
        <f aca="false">IF(AND(EDT!$J124=F$23,EDT!$M124&lt;&gt;"Recortada"),EDT!$K124,"")</f>
        <v>3.5</v>
      </c>
      <c r="G126" s="36" t="str">
        <f aca="false">IF(AND(EDT!$J124=G$23,EDT!$M124&lt;&gt;"Recortada"),EDT!$K124,"")</f>
        <v/>
      </c>
      <c r="H126" s="36" t="str">
        <f aca="false">IF(AND(EDT!$J124=H$23,EDT!$M124&lt;&gt;"Recortada"),EDT!$K124,"")</f>
        <v/>
      </c>
      <c r="I126" s="35" t="str">
        <f aca="false">EDT!M124</f>
        <v>Pendiente</v>
      </c>
    </row>
  </sheetData>
  <autoFilter ref="A23:I126"/>
  <conditionalFormatting sqref="G7:G11">
    <cfRule type="expression" priority="2" aboveAverage="0" equalAverage="0" bottom="0" percent="0" rank="0" text="" dxfId="19">
      <formula>$G7="Sobrecarga"</formula>
    </cfRule>
    <cfRule type="expression" priority="3" aboveAverage="0" equalAverage="0" bottom="0" percent="0" rank="0" text="" dxfId="11">
      <formula>$G7="OK"</formula>
    </cfRule>
  </conditionalFormatting>
  <conditionalFormatting sqref="F7:F11">
    <cfRule type="expression" priority="4" aboveAverage="0" equalAverage="0" bottom="0" percent="0" rank="0" text="" dxfId="20">
      <formula>$F7&gt;1</formula>
    </cfRule>
  </conditionalFormatting>
  <conditionalFormatting sqref="F16:F19">
    <cfRule type="expression" priority="5" aboveAverage="0" equalAverage="0" bottom="0" percent="0" rank="0" text="" dxfId="19">
      <formula>$F16="No cabe"</formula>
    </cfRule>
    <cfRule type="expression" priority="6" aboveAverage="0" equalAverage="0" bottom="0" percent="0" rank="0" text="" dxfId="11">
      <formula>$F16="Cabe"</formula>
    </cfRule>
  </conditionalFormatting>
  <conditionalFormatting sqref="G16:G19">
    <cfRule type="expression" priority="7" aboveAverage="0" equalAverage="0" bottom="0" percent="0" rank="0" text="" dxfId="20">
      <formula>$G16&lt;0</formula>
    </cfRule>
  </conditionalFormatting>
  <conditionalFormatting sqref="E24:H126">
    <cfRule type="expression" priority="8" aboveAverage="0" equalAverage="0" bottom="0" percent="0" rank="0" text="" dxfId="21">
      <formula>ISNUMBER(E24)</formula>
    </cfRule>
  </conditionalFormatting>
  <conditionalFormatting sqref="A24:D126">
    <cfRule type="expression" priority="9" aboveAverage="0" equalAverage="0" bottom="0" percent="0" rank="0" text="" dxfId="10">
      <formula>$I24="Recortada"</formula>
    </cfRule>
  </conditionalFormatting>
  <conditionalFormatting sqref="I24:I126">
    <cfRule type="expression" priority="10" aboveAverage="0" equalAverage="0" bottom="0" percent="0" rank="0" text="" dxfId="11">
      <formula>$I24="Hecha"</formula>
    </cfRule>
    <cfRule type="expression" priority="11" aboveAverage="0" equalAverage="0" bottom="0" percent="0" rank="0" text="" dxfId="12">
      <formula>$I24="En curso"</formula>
    </cfRule>
    <cfRule type="expression" priority="12" aboveAverage="0" equalAverage="0" bottom="0" percent="0" rank="0" text="" dxfId="13">
      <formula>$I24="Bloqueada"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5" hidden="false" customHeight="false" outlineLevel="0" collapsed="false">
      <c r="A1" s="37" t="s">
        <v>10</v>
      </c>
      <c r="B1" s="37" t="s">
        <v>9</v>
      </c>
      <c r="C1" s="37" t="s">
        <v>12</v>
      </c>
      <c r="D1" s="37" t="s">
        <v>13</v>
      </c>
      <c r="E1" s="37" t="s">
        <v>18</v>
      </c>
      <c r="F1" s="37" t="s">
        <v>15</v>
      </c>
    </row>
    <row r="2" customFormat="false" ht="15" hidden="false" customHeight="false" outlineLevel="0" collapsed="false">
      <c r="A2" s="38" t="s">
        <v>661</v>
      </c>
      <c r="B2" s="38" t="s">
        <v>25</v>
      </c>
      <c r="C2" s="38" t="s">
        <v>30</v>
      </c>
      <c r="D2" s="38" t="s">
        <v>31</v>
      </c>
      <c r="E2" s="38" t="s">
        <v>34</v>
      </c>
      <c r="F2" s="38" t="s">
        <v>33</v>
      </c>
    </row>
    <row r="3" customFormat="false" ht="15" hidden="false" customHeight="false" outlineLevel="0" collapsed="false">
      <c r="A3" s="38" t="s">
        <v>662</v>
      </c>
      <c r="B3" s="38" t="s">
        <v>206</v>
      </c>
      <c r="C3" s="38" t="s">
        <v>92</v>
      </c>
      <c r="D3" s="38" t="s">
        <v>121</v>
      </c>
      <c r="E3" s="38" t="s">
        <v>663</v>
      </c>
      <c r="F3" s="38" t="s">
        <v>68</v>
      </c>
    </row>
    <row r="4" customFormat="false" ht="15" hidden="false" customHeight="false" outlineLevel="0" collapsed="false">
      <c r="B4" s="38" t="s">
        <v>65</v>
      </c>
      <c r="C4" s="38" t="s">
        <v>623</v>
      </c>
      <c r="D4" s="38" t="s">
        <v>93</v>
      </c>
      <c r="E4" s="38" t="s">
        <v>664</v>
      </c>
      <c r="F4" s="38" t="s">
        <v>604</v>
      </c>
    </row>
    <row r="5" customFormat="false" ht="15" hidden="false" customHeight="false" outlineLevel="0" collapsed="false">
      <c r="D5" s="38" t="s">
        <v>624</v>
      </c>
      <c r="E5" s="38" t="s">
        <v>665</v>
      </c>
      <c r="F5" s="38" t="s">
        <v>614</v>
      </c>
    </row>
    <row r="6" customFormat="false" ht="15" hidden="false" customHeight="false" outlineLevel="0" collapsed="false">
      <c r="E6" s="38" t="s">
        <v>666</v>
      </c>
    </row>
    <row r="9" customFormat="false" ht="15" hidden="false" customHeight="false" outlineLevel="0" collapsed="false">
      <c r="A9" s="2" t="s">
        <v>667</v>
      </c>
    </row>
    <row r="10" customFormat="false" ht="15" hidden="false" customHeight="false" outlineLevel="0" collapsed="false">
      <c r="A10" s="2" t="s">
        <v>668</v>
      </c>
    </row>
    <row r="11" customFormat="false" ht="15" hidden="false" customHeight="false" outlineLevel="0" collapsed="false">
      <c r="A11" s="2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2026-10-28T17:59:20Z</dcterms:created>
  <dc:creator>openpyxl</dc:creator>
  <dc:description/>
  <dc:language>en-US</dc:language>
  <cp:lastModifiedBy/>
  <dcterms:modified xsi:type="dcterms:W3CDTF">2026-10-28T17:59:20Z</dcterms:modified>
  <cp:revision>0</cp:revision>
  <dc:subject/>
  <dc:title>EDT del Momento 2 — Patient Progress Auditor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